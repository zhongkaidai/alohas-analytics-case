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zhon\Desktop\Repository\alohas-analytics-case\"/>
    </mc:Choice>
  </mc:AlternateContent>
  <xr:revisionPtr revIDLastSave="0" documentId="13_ncr:1_{4BF1BFD6-B670-492C-8A3D-BEA221C525CA}" xr6:coauthVersionLast="47" xr6:coauthVersionMax="47" xr10:uidLastSave="{00000000-0000-0000-0000-000000000000}"/>
  <bookViews>
    <workbookView xWindow="-120" yWindow="-120" windowWidth="29040" windowHeight="15720" xr2:uid="{C1FE6054-99F0-4700-ADDB-3BD48D49DE20}"/>
  </bookViews>
  <sheets>
    <sheet name="Dashboard" sheetId="1" r:id="rId1"/>
    <sheet name="export 1A_excel" sheetId="2" r:id="rId2"/>
    <sheet name="export 1B_excel" sheetId="3" r:id="rId3"/>
    <sheet name="Dynamic Table 1" sheetId="4" r:id="rId4"/>
    <sheet name="export 2A_excel" sheetId="5" r:id="rId5"/>
    <sheet name="Dynamic Table 2" sheetId="6" r:id="rId6"/>
    <sheet name="export 3A_excel" sheetId="7" r:id="rId7"/>
    <sheet name="export 3B_excel" sheetId="8" r:id="rId8"/>
    <sheet name="export 3C_excel" sheetId="11" r:id="rId9"/>
    <sheet name="Dynamic Table 3" sheetId="9" r:id="rId10"/>
  </sheets>
  <definedNames>
    <definedName name="DatosExternos_1" localSheetId="1" hidden="1">'export 1A_excel'!$A$1:$L$101</definedName>
    <definedName name="DatosExternos_1" localSheetId="4" hidden="1">'export 2A_excel'!$A$1:$H$101</definedName>
    <definedName name="DatosExternos_1" localSheetId="6" hidden="1">'export 3A_excel'!$A$1:$H$5</definedName>
    <definedName name="DatosExternos_2" localSheetId="2" hidden="1">'export 1B_excel'!$A$1:$M$5</definedName>
    <definedName name="DatosExternos_2" localSheetId="7" hidden="1">'export 3B_excel'!$A$1:$H$9</definedName>
    <definedName name="DatosExternos_2" localSheetId="8" hidden="1">'export 3C_excel'!$A$1:$M$201</definedName>
  </definedNames>
  <calcPr calcId="191029"/>
  <pivotCaches>
    <pivotCache cacheId="0" r:id="rId11"/>
    <pivotCache cacheId="1" r:id="rId12"/>
    <pivotCache cacheId="2" r:id="rId13"/>
    <pivotCache cacheId="3" r:id="rId14"/>
    <pivotCache cacheId="7" r:id="rId15"/>
    <pivotCache cacheId="16" r:id="rId16"/>
    <pivotCache cacheId="15" r:id="rId17"/>
    <pivotCache cacheId="28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" i="1" l="1"/>
  <c r="B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D5E8A77-6E8F-4390-9634-2C737FDF144A}" keepAlive="1" name="Consulta - export 1A_excel" description="Conexión a la consulta 'export 1A_excel' en el libro." type="5" refreshedVersion="8" background="1" saveData="1">
    <dbPr connection="Provider=Microsoft.Mashup.OleDb.1;Data Source=$Workbook$;Location=&quot;export 1A_excel&quot;;Extended Properties=&quot;&quot;" command="SELECT * FROM [export 1A_excel]"/>
  </connection>
  <connection id="2" xr16:uid="{F7D7AAFC-29B3-468B-8C7A-7969CD1B1DB1}" keepAlive="1" name="Consulta - export 1B_excel" description="Conexión a la consulta 'export 1B_excel' en el libro." type="5" refreshedVersion="8" background="1" saveData="1">
    <dbPr connection="Provider=Microsoft.Mashup.OleDb.1;Data Source=$Workbook$;Location=&quot;export 1B_excel&quot;;Extended Properties=&quot;&quot;" command="SELECT * FROM [export 1B_excel]"/>
  </connection>
  <connection id="3" xr16:uid="{FFC5EA4D-3F87-4E37-A65A-C112C519526B}" keepAlive="1" name="Consulta - export 2A_excel" description="Conexión a la consulta 'export 2A_excel' en el libro." type="5" refreshedVersion="8" background="1" saveData="1">
    <dbPr connection="Provider=Microsoft.Mashup.OleDb.1;Data Source=$Workbook$;Location=&quot;export 2A_excel&quot;;Extended Properties=&quot;&quot;" command="SELECT * FROM [export 2A_excel]"/>
  </connection>
  <connection id="4" xr16:uid="{0221763B-B8AE-4AC1-AEF4-FC0C079C8CEA}" keepAlive="1" name="Consulta - export 3A_excel" description="Conexión a la consulta 'export 3A_excel' en el libro." type="5" refreshedVersion="8" background="1" saveData="1">
    <dbPr connection="Provider=Microsoft.Mashup.OleDb.1;Data Source=$Workbook$;Location=&quot;export 3A_excel&quot;;Extended Properties=&quot;&quot;" command="SELECT * FROM [export 3A_excel]"/>
  </connection>
  <connection id="5" xr16:uid="{58AF5218-06FF-4C61-A4FA-44F6E7C73F54}" keepAlive="1" name="Consulta - export 3B_excel" description="Conexión a la consulta 'export 3B_excel' en el libro." type="5" refreshedVersion="8" background="1" saveData="1">
    <dbPr connection="Provider=Microsoft.Mashup.OleDb.1;Data Source=$Workbook$;Location=&quot;export 3B_excel&quot;;Extended Properties=&quot;&quot;" command="SELECT * FROM [export 3B_excel]"/>
  </connection>
  <connection id="6" xr16:uid="{FF208504-BC5D-485B-956D-B5360A3F4178}" keepAlive="1" name="Consulta - export 3C_excel" description="Conexión a la consulta 'export 3C_excel' en el libro." type="5" refreshedVersion="8" background="1" saveData="1">
    <dbPr connection="Provider=Microsoft.Mashup.OleDb.1;Data Source=$Workbook$;Location=&quot;export 3C_excel&quot;;Extended Properties=&quot;&quot;" command="SELECT * FROM [export 3C_excel]"/>
  </connection>
</connections>
</file>

<file path=xl/sharedStrings.xml><?xml version="1.0" encoding="utf-8"?>
<sst xmlns="http://schemas.openxmlformats.org/spreadsheetml/2006/main" count="997" uniqueCount="458">
  <si>
    <t>year_month</t>
  </si>
  <si>
    <t>channel</t>
  </si>
  <si>
    <t>units_sold</t>
  </si>
  <si>
    <t>units_returned</t>
  </si>
  <si>
    <t>gross_sales</t>
  </si>
  <si>
    <t>taxes</t>
  </si>
  <si>
    <t>net_sales</t>
  </si>
  <si>
    <t>returned_sales_value</t>
  </si>
  <si>
    <t>realized_net_sales</t>
  </si>
  <si>
    <t>return_rate</t>
  </si>
  <si>
    <t>net_sales_per_unit</t>
  </si>
  <si>
    <t>realized_net_sales_per_unit</t>
  </si>
  <si>
    <t>marketplace</t>
  </si>
  <si>
    <t>online</t>
  </si>
  <si>
    <t>retail</t>
  </si>
  <si>
    <t>wholesale</t>
  </si>
  <si>
    <t>net_sales_mix</t>
  </si>
  <si>
    <t>realized_sales_mix</t>
  </si>
  <si>
    <t>Net Sales</t>
  </si>
  <si>
    <t>Realized Net Sales</t>
  </si>
  <si>
    <t>1. Channel Sales</t>
  </si>
  <si>
    <t>Etiquetas de fila</t>
  </si>
  <si>
    <t>Total general</t>
  </si>
  <si>
    <t>Suma de realized_net_sales</t>
  </si>
  <si>
    <t>Etiquetas de columna</t>
  </si>
  <si>
    <t>Suma de return_rate</t>
  </si>
  <si>
    <t>Channel</t>
  </si>
  <si>
    <t>Mix</t>
  </si>
  <si>
    <t>Return Rate</t>
  </si>
  <si>
    <t>Suma de returned_sales_value</t>
  </si>
  <si>
    <t>Suma de taxes</t>
  </si>
  <si>
    <t>net_sales_at_sale</t>
  </si>
  <si>
    <t>2. Net Sales and Late-arriving Returns</t>
  </si>
  <si>
    <t>(Todas)</t>
  </si>
  <si>
    <t>Suma de net_sales_at_sale</t>
  </si>
  <si>
    <t>3. Contribution Margin</t>
  </si>
  <si>
    <t>product_cogs</t>
  </si>
  <si>
    <t>shipping_cost</t>
  </si>
  <si>
    <t>estimated_return_cost</t>
  </si>
  <si>
    <t>contribution_margin</t>
  </si>
  <si>
    <t>contribution_margin_pct</t>
  </si>
  <si>
    <t>category</t>
  </si>
  <si>
    <t>Outerwear</t>
  </si>
  <si>
    <t>Shoes</t>
  </si>
  <si>
    <t>Dresses</t>
  </si>
  <si>
    <t>Bags</t>
  </si>
  <si>
    <t>Bottoms</t>
  </si>
  <si>
    <t>Swimwear</t>
  </si>
  <si>
    <t>Tops</t>
  </si>
  <si>
    <t>Accessories</t>
  </si>
  <si>
    <t>Suma de product_cogs</t>
  </si>
  <si>
    <t>Suma de shipping_cost</t>
  </si>
  <si>
    <t>Suma de estimated_return_cost</t>
  </si>
  <si>
    <t>Suma de contribution_margin</t>
  </si>
  <si>
    <t>Contribution Margin Percentage</t>
  </si>
  <si>
    <t>Category</t>
  </si>
  <si>
    <t>sku</t>
  </si>
  <si>
    <t>name</t>
  </si>
  <si>
    <t>SKU-05815</t>
  </si>
  <si>
    <t>Sienna Leading Accessorie 5815</t>
  </si>
  <si>
    <t>SKU-01829</t>
  </si>
  <si>
    <t>SlateBlue Expensive Accessorie 1829</t>
  </si>
  <si>
    <t>SKU-06130</t>
  </si>
  <si>
    <t>Navy Positive Accessorie 6130</t>
  </si>
  <si>
    <t>SKU-02061</t>
  </si>
  <si>
    <t>CornflowerBlue Strange Accessorie 2061</t>
  </si>
  <si>
    <t>SKU-05413</t>
  </si>
  <si>
    <t>SlateBlue Consistent Accessorie 5413</t>
  </si>
  <si>
    <t>SKU-05164</t>
  </si>
  <si>
    <t>BurlyWood Electronic Accessorie 5164</t>
  </si>
  <si>
    <t>SKU-01563</t>
  </si>
  <si>
    <t>DimGray Positive Accessorie 1563</t>
  </si>
  <si>
    <t>SKU-09596</t>
  </si>
  <si>
    <t>GoldenRod Gross Accessorie 9596</t>
  </si>
  <si>
    <t>SKU-03880</t>
  </si>
  <si>
    <t>LavenderBlush Obvious Accessorie 3880</t>
  </si>
  <si>
    <t>SKU-04249</t>
  </si>
  <si>
    <t>Gray Unusual Accessorie 4249</t>
  </si>
  <si>
    <t>SKU-07051</t>
  </si>
  <si>
    <t>DarkGreen Financial Top 7051</t>
  </si>
  <si>
    <t>SKU-05407</t>
  </si>
  <si>
    <t>MediumSlateBlue Various Bag 5407</t>
  </si>
  <si>
    <t>SKU-08987</t>
  </si>
  <si>
    <t>WhiteSmoke Friendly Swimwear 8987</t>
  </si>
  <si>
    <t>SKU-08633</t>
  </si>
  <si>
    <t>CadetBlue Sick Bottom 8633</t>
  </si>
  <si>
    <t>SKU-02460</t>
  </si>
  <si>
    <t>LightYellow Amazing Bag 2460</t>
  </si>
  <si>
    <t>SKU-04221</t>
  </si>
  <si>
    <t>MediumSlateBlue Critical Dresse 4221</t>
  </si>
  <si>
    <t>SKU-01332</t>
  </si>
  <si>
    <t>Cyan Reasonable Top 1332</t>
  </si>
  <si>
    <t>SKU-01310</t>
  </si>
  <si>
    <t>Cyan Slow Top 1310</t>
  </si>
  <si>
    <t>SKU-06070</t>
  </si>
  <si>
    <t>DarkSalmon Adult Outerwear 6070</t>
  </si>
  <si>
    <t>SKU-04667</t>
  </si>
  <si>
    <t>Fuchsia Pretty Top 4667</t>
  </si>
  <si>
    <t>SKU-07194</t>
  </si>
  <si>
    <t>IndianRed General Swimwear 7194</t>
  </si>
  <si>
    <t>SKU-05951</t>
  </si>
  <si>
    <t>Indigo Late Bottom 5951</t>
  </si>
  <si>
    <t>SKU-02774</t>
  </si>
  <si>
    <t>Lime Sharp Accessorie 2774</t>
  </si>
  <si>
    <t>SKU-06667</t>
  </si>
  <si>
    <t>WhiteSmoke Silly Dresse 6667</t>
  </si>
  <si>
    <t>SKU-04888</t>
  </si>
  <si>
    <t>FireBrick Mad Bottom 4888</t>
  </si>
  <si>
    <t>SKU-05200</t>
  </si>
  <si>
    <t>Maroon Sexual Dresse 5200</t>
  </si>
  <si>
    <t>SKU-02021</t>
  </si>
  <si>
    <t>Wheat Cultural Bottom 2021</t>
  </si>
  <si>
    <t>SKU-06011</t>
  </si>
  <si>
    <t>Salmon Soft Top 6011</t>
  </si>
  <si>
    <t>SKU-01203</t>
  </si>
  <si>
    <t>Yellow Able Bottom 1203</t>
  </si>
  <si>
    <t>SKU-07436</t>
  </si>
  <si>
    <t>Indigo Every Bottom 7436</t>
  </si>
  <si>
    <t>SKU-09214</t>
  </si>
  <si>
    <t>YellowGreen Clear Bag 9214</t>
  </si>
  <si>
    <t>SKU-08559</t>
  </si>
  <si>
    <t>MintCream Small Dresse 8559</t>
  </si>
  <si>
    <t>SKU-08022</t>
  </si>
  <si>
    <t>DarkKhaki Wonderful Swimwear 8022</t>
  </si>
  <si>
    <t>SKU-08404</t>
  </si>
  <si>
    <t>SlateBlue Friendly Top 8404</t>
  </si>
  <si>
    <t>SKU-01387</t>
  </si>
  <si>
    <t>LightCoral Clean Bottom 1387</t>
  </si>
  <si>
    <t>SKU-05524</t>
  </si>
  <si>
    <t>Black Wonderful Bottom 5524</t>
  </si>
  <si>
    <t>SKU-07282</t>
  </si>
  <si>
    <t>Ivory Significant Swimwear 7282</t>
  </si>
  <si>
    <t>SKU-08095</t>
  </si>
  <si>
    <t>HotPink Deep Swimwear 8095</t>
  </si>
  <si>
    <t>SKU-04284</t>
  </si>
  <si>
    <t>DarkOliveGreen Several Bag 4284</t>
  </si>
  <si>
    <t>SKU-06583</t>
  </si>
  <si>
    <t>LightGreen Thick Dresse 6583</t>
  </si>
  <si>
    <t>SKU-09575</t>
  </si>
  <si>
    <t>Chartreuse Unique Swimwear 9575</t>
  </si>
  <si>
    <t>SKU-04942</t>
  </si>
  <si>
    <t>Red Leading Swimwear 4942</t>
  </si>
  <si>
    <t>SKU-04914</t>
  </si>
  <si>
    <t>Chocolate Curious Dresse 4914</t>
  </si>
  <si>
    <t>SKU-07824</t>
  </si>
  <si>
    <t>CornflowerBlue Useful Shoe 7824</t>
  </si>
  <si>
    <t>SKU-06921</t>
  </si>
  <si>
    <t>Yellow Dramatic Shoe 6921</t>
  </si>
  <si>
    <t>SKU-04746</t>
  </si>
  <si>
    <t>Sienna According Swimwear 4746</t>
  </si>
  <si>
    <t>SKU-03628</t>
  </si>
  <si>
    <t>Khaki Opposite Dresse 3628</t>
  </si>
  <si>
    <t>SKU-04105</t>
  </si>
  <si>
    <t>Cyan Informal Dresse 4105</t>
  </si>
  <si>
    <t>SKU-01807</t>
  </si>
  <si>
    <t>DarkKhaki External Dresse 1807</t>
  </si>
  <si>
    <t>SKU-01677</t>
  </si>
  <si>
    <t>Salmon Flat Shoe 1677</t>
  </si>
  <si>
    <t>SKU-04642</t>
  </si>
  <si>
    <t>Lime Brief Top 4642</t>
  </si>
  <si>
    <t>SKU-06594</t>
  </si>
  <si>
    <t>HoneyDew Calm Bag 6594</t>
  </si>
  <si>
    <t>SKU-04551</t>
  </si>
  <si>
    <t>BurlyWood Fine Accessorie 4551</t>
  </si>
  <si>
    <t>SKU-01756</t>
  </si>
  <si>
    <t>Silver Extra Bag 1756</t>
  </si>
  <si>
    <t>SKU-05840</t>
  </si>
  <si>
    <t>MediumBlue Ago Outerwear 5840</t>
  </si>
  <si>
    <t>SKU-06838</t>
  </si>
  <si>
    <t>IndianRed Informal Shoe 6838</t>
  </si>
  <si>
    <t>SKU-03518</t>
  </si>
  <si>
    <t>LemonChiffon Pure Bag 3518</t>
  </si>
  <si>
    <t>SKU-09585</t>
  </si>
  <si>
    <t>DarkOrchid Weak Outerwear 9585</t>
  </si>
  <si>
    <t>SKU-05995</t>
  </si>
  <si>
    <t>Cyan Helpful Swimwear 5995</t>
  </si>
  <si>
    <t>SKU-08262</t>
  </si>
  <si>
    <t>Yellow Actual Bottom 8262</t>
  </si>
  <si>
    <t>SKU-01863</t>
  </si>
  <si>
    <t>Peru Exciting Bottom 1863</t>
  </si>
  <si>
    <t>SKU-04641</t>
  </si>
  <si>
    <t>LightSeaGreen Rough Dresse 4641</t>
  </si>
  <si>
    <t>SKU-01521</t>
  </si>
  <si>
    <t>SpringGreen Main Swimwear 1521</t>
  </si>
  <si>
    <t>SKU-04081</t>
  </si>
  <si>
    <t>LightSkyBlue Equal Bag 4081</t>
  </si>
  <si>
    <t>SKU-03446</t>
  </si>
  <si>
    <t>Peru Eastern Swimwear 3446</t>
  </si>
  <si>
    <t>SKU-03472</t>
  </si>
  <si>
    <t>Pink Fair Accessorie 3472</t>
  </si>
  <si>
    <t>SKU-01275</t>
  </si>
  <si>
    <t>Pink Tough Swimwear 1275</t>
  </si>
  <si>
    <t>SKU-03131</t>
  </si>
  <si>
    <t>Gold New Top 3131</t>
  </si>
  <si>
    <t>SKU-05107</t>
  </si>
  <si>
    <t>Maroon Exciting Outerwear 5107</t>
  </si>
  <si>
    <t>SKU-04863</t>
  </si>
  <si>
    <t>Maroon Silly Accessorie 4863</t>
  </si>
  <si>
    <t>SKU-02779</t>
  </si>
  <si>
    <t>White Accurate Top 2779</t>
  </si>
  <si>
    <t>SKU-08901</t>
  </si>
  <si>
    <t>DarkMagenta Weird Top 8901</t>
  </si>
  <si>
    <t>SKU-05498</t>
  </si>
  <si>
    <t>BlueViolet Raw Bag 5498</t>
  </si>
  <si>
    <t>SKU-09925</t>
  </si>
  <si>
    <t>LightYellow Worth Outerwear 9925</t>
  </si>
  <si>
    <t>SKU-07887</t>
  </si>
  <si>
    <t>SlateGray Asleep Swimwear 7887</t>
  </si>
  <si>
    <t>SKU-09173</t>
  </si>
  <si>
    <t>PaleGreen Loose Swimwear 9173</t>
  </si>
  <si>
    <t>SKU-09423</t>
  </si>
  <si>
    <t>Crimson Senior Dresse 9423</t>
  </si>
  <si>
    <t>SKU-09631</t>
  </si>
  <si>
    <t>Sienna Terrible Dresse 9631</t>
  </si>
  <si>
    <t>SKU-07949</t>
  </si>
  <si>
    <t>LightSeaGreen Consistent Shoe 7949</t>
  </si>
  <si>
    <t>SKU-02246</t>
  </si>
  <si>
    <t>DarkOrange Mobile Shoe 2246</t>
  </si>
  <si>
    <t>SKU-05898</t>
  </si>
  <si>
    <t>Plum Common Dresse 5898</t>
  </si>
  <si>
    <t>SKU-01706</t>
  </si>
  <si>
    <t>Lime Content Bottom 1706</t>
  </si>
  <si>
    <t>SKU-06459</t>
  </si>
  <si>
    <t>DarkGoldenRod Smart Bag 6459</t>
  </si>
  <si>
    <t>SKU-07725</t>
  </si>
  <si>
    <t>Peru Tall Accessorie 7725</t>
  </si>
  <si>
    <t>SKU-08484</t>
  </si>
  <si>
    <t>LightBlue Extreme Bag 8484</t>
  </si>
  <si>
    <t>SKU-05203</t>
  </si>
  <si>
    <t>DarkGray Adult Dresse 5203</t>
  </si>
  <si>
    <t>SKU-07957</t>
  </si>
  <si>
    <t>PaleGoldenRod Strong Accessorie 7957</t>
  </si>
  <si>
    <t>SKU-07599</t>
  </si>
  <si>
    <t>AliceBlue Smooth Bottom 7599</t>
  </si>
  <si>
    <t>SKU-07146</t>
  </si>
  <si>
    <t>MediumSpringGreen Visible Accessorie 7146</t>
  </si>
  <si>
    <t>SKU-09656</t>
  </si>
  <si>
    <t>Maroon Entire Outerwear 9656</t>
  </si>
  <si>
    <t>SKU-03776</t>
  </si>
  <si>
    <t>MediumSpringGreen Immediate Shoe 3776</t>
  </si>
  <si>
    <t>SKU-01785</t>
  </si>
  <si>
    <t>Yellow Smart Top 1785</t>
  </si>
  <si>
    <t>SKU-02152</t>
  </si>
  <si>
    <t>DeepPink Valuable Bottom 2152</t>
  </si>
  <si>
    <t>SKU-09085</t>
  </si>
  <si>
    <t>DarkSeaGreen Sad Outerwear 9085</t>
  </si>
  <si>
    <t>SKU-01600</t>
  </si>
  <si>
    <t>Maroon International Top 1600</t>
  </si>
  <si>
    <t>SKU-02367</t>
  </si>
  <si>
    <t>LimeGreen Sensitive Dresse 2367</t>
  </si>
  <si>
    <t>SKU-08658</t>
  </si>
  <si>
    <t>MediumOrchid Federal Top 8658</t>
  </si>
  <si>
    <t>SKU-02129</t>
  </si>
  <si>
    <t>LightGray Educational Outerwear 2129</t>
  </si>
  <si>
    <t>SKU-06927</t>
  </si>
  <si>
    <t>LightGreen Funny Dresse 6927</t>
  </si>
  <si>
    <t>SKU-05638</t>
  </si>
  <si>
    <t>Peru Special Bottom 5638</t>
  </si>
  <si>
    <t>SKU-09176</t>
  </si>
  <si>
    <t>SkyBlue Friendly Bag 9176</t>
  </si>
  <si>
    <t>SKU-04270</t>
  </si>
  <si>
    <t>Aqua Loud Bottom 4270</t>
  </si>
  <si>
    <t>SKU-02366</t>
  </si>
  <si>
    <t>DarkGreen Actual Bag 2366</t>
  </si>
  <si>
    <t>SKU-02427</t>
  </si>
  <si>
    <t>FireBrick National Bottom 2427</t>
  </si>
  <si>
    <t>SKU-05145</t>
  </si>
  <si>
    <t>Peru Lost Bag 5145</t>
  </si>
  <si>
    <t>SKU-07483</t>
  </si>
  <si>
    <t>DimGray Loud Swimwear 7483</t>
  </si>
  <si>
    <t>SKU-04882</t>
  </si>
  <si>
    <t>DarkKhaki Efficient Dresse 4882</t>
  </si>
  <si>
    <t>SKU-09349</t>
  </si>
  <si>
    <t>LightBlue Interesting Top 9349</t>
  </si>
  <si>
    <t>SKU-07481</t>
  </si>
  <si>
    <t>DarkRed Left Top 7481</t>
  </si>
  <si>
    <t>SKU-01788</t>
  </si>
  <si>
    <t>LawnGreen Deep Shoe 1788</t>
  </si>
  <si>
    <t>SKU-07929</t>
  </si>
  <si>
    <t>Moccasin Pure Swimwear 7929</t>
  </si>
  <si>
    <t>SKU-05131</t>
  </si>
  <si>
    <t>CornflowerBlue Unable Accessorie 5131</t>
  </si>
  <si>
    <t>SKU-02493</t>
  </si>
  <si>
    <t>MistyRose Cool Bottom 2493</t>
  </si>
  <si>
    <t>SKU-04424</t>
  </si>
  <si>
    <t>Brown Used Dresse 4424</t>
  </si>
  <si>
    <t>SKU-04135</t>
  </si>
  <si>
    <t>Peru Useful Dresse 4135</t>
  </si>
  <si>
    <t>SKU-06761</t>
  </si>
  <si>
    <t>RosyBrown Hungry Dresse 6761</t>
  </si>
  <si>
    <t>SKU-08007</t>
  </si>
  <si>
    <t>LightSeaGreen Every Bag 8007</t>
  </si>
  <si>
    <t>SKU-03715</t>
  </si>
  <si>
    <t>LightGray Junior Outerwear 3715</t>
  </si>
  <si>
    <t>SKU-07252</t>
  </si>
  <si>
    <t>WhiteSmoke Lonely Outerwear 7252</t>
  </si>
  <si>
    <t>SKU-06682</t>
  </si>
  <si>
    <t>Tan Frequent Outerwear 6682</t>
  </si>
  <si>
    <t>SKU-03710</t>
  </si>
  <si>
    <t>LightBlue Neat Top 3710</t>
  </si>
  <si>
    <t>SKU-08352</t>
  </si>
  <si>
    <t>MediumSeaGreen Dangerous Swimwear 8352</t>
  </si>
  <si>
    <t>SKU-05452</t>
  </si>
  <si>
    <t>Turquoise Few Outerwear 5452</t>
  </si>
  <si>
    <t>SKU-08843</t>
  </si>
  <si>
    <t>FloralWhite Comfortable Bottom 8843</t>
  </si>
  <si>
    <t>SKU-03189</t>
  </si>
  <si>
    <t>LightGray Main Swimwear 3189</t>
  </si>
  <si>
    <t>SKU-06048</t>
  </si>
  <si>
    <t>Gray Brave Swimwear 6048</t>
  </si>
  <si>
    <t>SKU-08155</t>
  </si>
  <si>
    <t>Indigo Foreign Accessorie 8155</t>
  </si>
  <si>
    <t>SKU-04903</t>
  </si>
  <si>
    <t>Yellow Bright Dresse 4903</t>
  </si>
  <si>
    <t>SKU-04977</t>
  </si>
  <si>
    <t>DarkGreen Intelligent Shoe 4977</t>
  </si>
  <si>
    <t>SKU-04253</t>
  </si>
  <si>
    <t>CadetBlue Wonderful Outerwear 4253</t>
  </si>
  <si>
    <t>SKU-05989</t>
  </si>
  <si>
    <t>LightGray Proper Top 5989</t>
  </si>
  <si>
    <t>SKU-01813</t>
  </si>
  <si>
    <t>Khaki Other Outerwear 1813</t>
  </si>
  <si>
    <t>SKU-08396</t>
  </si>
  <si>
    <t>Coral Physical Outerwear 8396</t>
  </si>
  <si>
    <t>SKU-08630</t>
  </si>
  <si>
    <t>Thistle Pleasant Bottom 8630</t>
  </si>
  <si>
    <t>SKU-08313</t>
  </si>
  <si>
    <t>LightGray Political Outerwear 8313</t>
  </si>
  <si>
    <t>SKU-01808</t>
  </si>
  <si>
    <t>YellowGreen Recent Shoe 1808</t>
  </si>
  <si>
    <t>SKU-06666</t>
  </si>
  <si>
    <t>DeepSkyBlue Substantial Outerwear 6666</t>
  </si>
  <si>
    <t>SKU-07896</t>
  </si>
  <si>
    <t>AliceBlue Last Accessorie 7896</t>
  </si>
  <si>
    <t>SKU-08397</t>
  </si>
  <si>
    <t>Red Slow Shoe 8397</t>
  </si>
  <si>
    <t>SKU-06952</t>
  </si>
  <si>
    <t>PaleGoldenRod Past Bag 6952</t>
  </si>
  <si>
    <t>SKU-02610</t>
  </si>
  <si>
    <t>Wheat Large Bag 2610</t>
  </si>
  <si>
    <t>SKU-01952</t>
  </si>
  <si>
    <t>SeaGreen Perfect Bottom 1952</t>
  </si>
  <si>
    <t>SKU-09028</t>
  </si>
  <si>
    <t>Cornsilk Frequent Dresse 9028</t>
  </si>
  <si>
    <t>SKU-07584</t>
  </si>
  <si>
    <t>DeepSkyBlue Amazing Bag 7584</t>
  </si>
  <si>
    <t>SKU-08101</t>
  </si>
  <si>
    <t>DarkGoldenRod Slight Shoe 8101</t>
  </si>
  <si>
    <t>SKU-04869</t>
  </si>
  <si>
    <t>LightGray Hungry Outerwear 4869</t>
  </si>
  <si>
    <t>SKU-04445</t>
  </si>
  <si>
    <t>Peru Enough Bottom 4445</t>
  </si>
  <si>
    <t>SKU-07922</t>
  </si>
  <si>
    <t>Cyan Clear Dresse 7922</t>
  </si>
  <si>
    <t>SKU-07091</t>
  </si>
  <si>
    <t>LightGray Excellent Top 7091</t>
  </si>
  <si>
    <t>SKU-06998</t>
  </si>
  <si>
    <t>IndianRed Entire Bottom 6998</t>
  </si>
  <si>
    <t>SKU-05506</t>
  </si>
  <si>
    <t>Indigo Nasty Shoe 5506</t>
  </si>
  <si>
    <t>SKU-06386</t>
  </si>
  <si>
    <t>Bisque Tough Shoe 6386</t>
  </si>
  <si>
    <t>SKU-08411</t>
  </si>
  <si>
    <t>Tan Mad Outerwear 8411</t>
  </si>
  <si>
    <t>SKU-08057</t>
  </si>
  <si>
    <t>LightGoldenRodYellow Visible Shoe 8057</t>
  </si>
  <si>
    <t>SKU-07811</t>
  </si>
  <si>
    <t>DimGray Yellow Dresse 7811</t>
  </si>
  <si>
    <t>SKU-08583</t>
  </si>
  <si>
    <t>Magenta Professional Outerwear 8583</t>
  </si>
  <si>
    <t>SKU-02243</t>
  </si>
  <si>
    <t>Teal Ready Shoe 2243</t>
  </si>
  <si>
    <t>SKU-03888</t>
  </si>
  <si>
    <t>SandyBrown National Swimwear 3888</t>
  </si>
  <si>
    <t>SKU-04971</t>
  </si>
  <si>
    <t>Gold Flat Bottom 4971</t>
  </si>
  <si>
    <t>SKU-05008</t>
  </si>
  <si>
    <t>Ivory Hungry Top 5008</t>
  </si>
  <si>
    <t>SKU-08297</t>
  </si>
  <si>
    <t>Green Usual Dresse 8297</t>
  </si>
  <si>
    <t>SKU-06947</t>
  </si>
  <si>
    <t>Gold Impossible Bottom 6947</t>
  </si>
  <si>
    <t>SKU-08165</t>
  </si>
  <si>
    <t>LavenderBlush Lower Dresse 8165</t>
  </si>
  <si>
    <t>SKU-07702</t>
  </si>
  <si>
    <t>PaleTurquoise Visual Dresse 7702</t>
  </si>
  <si>
    <t>SKU-07072</t>
  </si>
  <si>
    <t>LightSlateGray Easy Dresse 7072</t>
  </si>
  <si>
    <t>SKU-03006</t>
  </si>
  <si>
    <t>Olive Serious Accessorie 3006</t>
  </si>
  <si>
    <t>SKU-06962</t>
  </si>
  <si>
    <t>LightBlue Automatic Dresse 6962</t>
  </si>
  <si>
    <t>SKU-06665</t>
  </si>
  <si>
    <t>Aqua Immediate Bag 6665</t>
  </si>
  <si>
    <t>SKU-04653</t>
  </si>
  <si>
    <t>DarkGreen National Shoe 4653</t>
  </si>
  <si>
    <t>SKU-03997</t>
  </si>
  <si>
    <t>Azure Immediate Bag 3997</t>
  </si>
  <si>
    <t>SKU-02918</t>
  </si>
  <si>
    <t>MistyRose Own Outerwear 2918</t>
  </si>
  <si>
    <t>SKU-03564</t>
  </si>
  <si>
    <t>Olive Lost Outerwear 3564</t>
  </si>
  <si>
    <t>SKU-04921</t>
  </si>
  <si>
    <t>LawnGreen Entire Bag 4921</t>
  </si>
  <si>
    <t>SKU-01065</t>
  </si>
  <si>
    <t>Cornsilk Spare Dresse 1065</t>
  </si>
  <si>
    <t>SKU-07255</t>
  </si>
  <si>
    <t>DarkOrchid Objective Dresse 7255</t>
  </si>
  <si>
    <t>SKU-04812</t>
  </si>
  <si>
    <t>HoneyDew Sad Dresse 4812</t>
  </si>
  <si>
    <t>SKU-02497</t>
  </si>
  <si>
    <t>LightPink Sharp Dresse 2497</t>
  </si>
  <si>
    <t>SKU-09878</t>
  </si>
  <si>
    <t>Cornsilk Large Dresse 9878</t>
  </si>
  <si>
    <t>SKU-06044</t>
  </si>
  <si>
    <t>YellowGreen Gross Shoe 6044</t>
  </si>
  <si>
    <t>SKU-05467</t>
  </si>
  <si>
    <t>AliceBlue Downtown Swimwear 5467</t>
  </si>
  <si>
    <t>SKU-03093</t>
  </si>
  <si>
    <t>Tan Double Bottom 3093</t>
  </si>
  <si>
    <t>SKU-03930</t>
  </si>
  <si>
    <t>Navy Famous Swimwear 3930</t>
  </si>
  <si>
    <t>SKU-05221</t>
  </si>
  <si>
    <t>DimGray Proper Outerwear 5221</t>
  </si>
  <si>
    <t>SKU-02447</t>
  </si>
  <si>
    <t>MediumPurple Pregnant Shoe 2447</t>
  </si>
  <si>
    <t>SKU-07707</t>
  </si>
  <si>
    <t>CornflowerBlue Vast Bag 7707</t>
  </si>
  <si>
    <t>SKU-07323</t>
  </si>
  <si>
    <t>DarkMagenta Inevitable Bottom 7323</t>
  </si>
  <si>
    <t>SKU-02722</t>
  </si>
  <si>
    <t>LightGray Famous Shoe 2722</t>
  </si>
  <si>
    <t>SKU-02130</t>
  </si>
  <si>
    <t>Khaki Useful Dresse 2130</t>
  </si>
  <si>
    <t>SKU-07141</t>
  </si>
  <si>
    <t>SeaGreen Male Outerwear 7141</t>
  </si>
  <si>
    <t>SKU-05523</t>
  </si>
  <si>
    <t>LightSalmon Unable Outerwear 5523</t>
  </si>
  <si>
    <t>SKU-02680</t>
  </si>
  <si>
    <t>LightSeaGreen Proper Bag 2680</t>
  </si>
  <si>
    <t>SKU-07829</t>
  </si>
  <si>
    <t>NavajoWhite All Outerwear 7829</t>
  </si>
  <si>
    <t>SKU-03469</t>
  </si>
  <si>
    <t>Wheat Firm Dresse 3469</t>
  </si>
  <si>
    <t>SKU-04049</t>
  </si>
  <si>
    <t>Tomato Glad Bag 4049</t>
  </si>
  <si>
    <t>SKU-03014</t>
  </si>
  <si>
    <t>LightSeaGreen Effective Outerwear 3014</t>
  </si>
  <si>
    <t>SKU-03146</t>
  </si>
  <si>
    <t>Salmon Psychological Outerwear 3146</t>
  </si>
  <si>
    <t>SKU-05090</t>
  </si>
  <si>
    <t>NavajoWhite Common Bag 5090</t>
  </si>
  <si>
    <t>SKU-07221</t>
  </si>
  <si>
    <t>LightGreen Successful Outerwear 7221</t>
  </si>
  <si>
    <t>SKU-09785</t>
  </si>
  <si>
    <t>DarkSeaGreen High Shoe 9785</t>
  </si>
  <si>
    <t>SKU-05944</t>
  </si>
  <si>
    <t>CornflowerBlue Similar Shoe 5944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</si>
</sst>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0" fillId="0" borderId="0" xfId="0" applyNumberFormat="1"/>
    <xf numFmtId="0" fontId="1" fillId="0" borderId="0" xfId="0" applyFont="1"/>
    <xf numFmtId="0" fontId="3" fillId="0" borderId="0" xfId="0" applyFont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/>
    <xf numFmtId="164" fontId="2" fillId="2" borderId="0" xfId="0" applyNumberFormat="1" applyFont="1" applyFill="1"/>
    <xf numFmtId="164" fontId="0" fillId="3" borderId="0" xfId="0" applyNumberFormat="1" applyFill="1"/>
    <xf numFmtId="164" fontId="2" fillId="4" borderId="0" xfId="0" applyNumberFormat="1" applyFont="1" applyFill="1"/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font>
        <color theme="0"/>
      </font>
    </dxf>
    <dxf>
      <fill>
        <patternFill patternType="solid">
          <bgColor theme="9" tint="-0.249977111117893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theme="0"/>
      </font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pivotCacheDefinition" Target="pivotCache/pivotCacheDefinition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ivotCacheDefinition" Target="pivotCache/pivotCacheDefinition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[Dashboard.xlsx]Dynamic Table 1!TablaDinámica1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'Dynamic Table 1'!$B$3:$B$4</c:f>
              <c:strCache>
                <c:ptCount val="1"/>
                <c:pt idx="0">
                  <c:v>marketplace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'Dynamic Table 1'!$A$5:$A$30</c:f>
              <c:strCache>
                <c:ptCount val="25"/>
                <c:pt idx="0">
                  <c:v>01/05/2024</c:v>
                </c:pt>
                <c:pt idx="1">
                  <c:v>01/06/2024</c:v>
                </c:pt>
                <c:pt idx="2">
                  <c:v>01/07/2024</c:v>
                </c:pt>
                <c:pt idx="3">
                  <c:v>01/08/2024</c:v>
                </c:pt>
                <c:pt idx="4">
                  <c:v>01/09/2024</c:v>
                </c:pt>
                <c:pt idx="5">
                  <c:v>01/10/2024</c:v>
                </c:pt>
                <c:pt idx="6">
                  <c:v>01/11/2024</c:v>
                </c:pt>
                <c:pt idx="7">
                  <c:v>01/12/2024</c:v>
                </c:pt>
                <c:pt idx="8">
                  <c:v>01/01/2025</c:v>
                </c:pt>
                <c:pt idx="9">
                  <c:v>01/02/2025</c:v>
                </c:pt>
                <c:pt idx="10">
                  <c:v>01/03/2025</c:v>
                </c:pt>
                <c:pt idx="11">
                  <c:v>01/04/2025</c:v>
                </c:pt>
                <c:pt idx="12">
                  <c:v>01/05/2025</c:v>
                </c:pt>
                <c:pt idx="13">
                  <c:v>01/06/2025</c:v>
                </c:pt>
                <c:pt idx="14">
                  <c:v>01/07/2025</c:v>
                </c:pt>
                <c:pt idx="15">
                  <c:v>01/08/2025</c:v>
                </c:pt>
                <c:pt idx="16">
                  <c:v>01/09/2025</c:v>
                </c:pt>
                <c:pt idx="17">
                  <c:v>01/10/2025</c:v>
                </c:pt>
                <c:pt idx="18">
                  <c:v>01/11/2025</c:v>
                </c:pt>
                <c:pt idx="19">
                  <c:v>01/12/2025</c:v>
                </c:pt>
                <c:pt idx="20">
                  <c:v>01/01/2026</c:v>
                </c:pt>
                <c:pt idx="21">
                  <c:v>01/02/2026</c:v>
                </c:pt>
                <c:pt idx="22">
                  <c:v>01/03/2026</c:v>
                </c:pt>
                <c:pt idx="23">
                  <c:v>01/04/2026</c:v>
                </c:pt>
                <c:pt idx="24">
                  <c:v>01/05/2026</c:v>
                </c:pt>
              </c:strCache>
            </c:strRef>
          </c:cat>
          <c:val>
            <c:numRef>
              <c:f>'Dynamic Table 1'!$B$5:$B$30</c:f>
              <c:numCache>
                <c:formatCode>General</c:formatCode>
                <c:ptCount val="25"/>
                <c:pt idx="0">
                  <c:v>0</c:v>
                </c:pt>
                <c:pt idx="1">
                  <c:v>13382.6</c:v>
                </c:pt>
                <c:pt idx="2">
                  <c:v>16890.2</c:v>
                </c:pt>
                <c:pt idx="3">
                  <c:v>16108.1</c:v>
                </c:pt>
                <c:pt idx="4">
                  <c:v>11652.5</c:v>
                </c:pt>
                <c:pt idx="5">
                  <c:v>14875.7</c:v>
                </c:pt>
                <c:pt idx="6">
                  <c:v>26101.599999999999</c:v>
                </c:pt>
                <c:pt idx="7">
                  <c:v>23589.4</c:v>
                </c:pt>
                <c:pt idx="8">
                  <c:v>12561</c:v>
                </c:pt>
                <c:pt idx="9">
                  <c:v>13437.9</c:v>
                </c:pt>
                <c:pt idx="10">
                  <c:v>13848.7</c:v>
                </c:pt>
                <c:pt idx="11">
                  <c:v>17214.099999999999</c:v>
                </c:pt>
                <c:pt idx="12">
                  <c:v>21164.1</c:v>
                </c:pt>
                <c:pt idx="13">
                  <c:v>20192.400000000001</c:v>
                </c:pt>
                <c:pt idx="14">
                  <c:v>19046.900000000001</c:v>
                </c:pt>
                <c:pt idx="15">
                  <c:v>15065.3</c:v>
                </c:pt>
                <c:pt idx="16">
                  <c:v>21298.400000000001</c:v>
                </c:pt>
                <c:pt idx="17">
                  <c:v>18936.3</c:v>
                </c:pt>
                <c:pt idx="18">
                  <c:v>26978.5</c:v>
                </c:pt>
                <c:pt idx="19">
                  <c:v>24426.799999999999</c:v>
                </c:pt>
                <c:pt idx="20">
                  <c:v>17174.599999999999</c:v>
                </c:pt>
                <c:pt idx="21">
                  <c:v>11091.6</c:v>
                </c:pt>
                <c:pt idx="22">
                  <c:v>21796.1</c:v>
                </c:pt>
                <c:pt idx="23">
                  <c:v>22364.9</c:v>
                </c:pt>
                <c:pt idx="24">
                  <c:v>23929.1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4A-495D-AAD1-6159CCF624E8}"/>
            </c:ext>
          </c:extLst>
        </c:ser>
        <c:ser>
          <c:idx val="1"/>
          <c:order val="1"/>
          <c:tx>
            <c:strRef>
              <c:f>'Dynamic Table 1'!$C$3:$C$4</c:f>
              <c:strCache>
                <c:ptCount val="1"/>
                <c:pt idx="0">
                  <c:v>online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'Dynamic Table 1'!$A$5:$A$30</c:f>
              <c:strCache>
                <c:ptCount val="25"/>
                <c:pt idx="0">
                  <c:v>01/05/2024</c:v>
                </c:pt>
                <c:pt idx="1">
                  <c:v>01/06/2024</c:v>
                </c:pt>
                <c:pt idx="2">
                  <c:v>01/07/2024</c:v>
                </c:pt>
                <c:pt idx="3">
                  <c:v>01/08/2024</c:v>
                </c:pt>
                <c:pt idx="4">
                  <c:v>01/09/2024</c:v>
                </c:pt>
                <c:pt idx="5">
                  <c:v>01/10/2024</c:v>
                </c:pt>
                <c:pt idx="6">
                  <c:v>01/11/2024</c:v>
                </c:pt>
                <c:pt idx="7">
                  <c:v>01/12/2024</c:v>
                </c:pt>
                <c:pt idx="8">
                  <c:v>01/01/2025</c:v>
                </c:pt>
                <c:pt idx="9">
                  <c:v>01/02/2025</c:v>
                </c:pt>
                <c:pt idx="10">
                  <c:v>01/03/2025</c:v>
                </c:pt>
                <c:pt idx="11">
                  <c:v>01/04/2025</c:v>
                </c:pt>
                <c:pt idx="12">
                  <c:v>01/05/2025</c:v>
                </c:pt>
                <c:pt idx="13">
                  <c:v>01/06/2025</c:v>
                </c:pt>
                <c:pt idx="14">
                  <c:v>01/07/2025</c:v>
                </c:pt>
                <c:pt idx="15">
                  <c:v>01/08/2025</c:v>
                </c:pt>
                <c:pt idx="16">
                  <c:v>01/09/2025</c:v>
                </c:pt>
                <c:pt idx="17">
                  <c:v>01/10/2025</c:v>
                </c:pt>
                <c:pt idx="18">
                  <c:v>01/11/2025</c:v>
                </c:pt>
                <c:pt idx="19">
                  <c:v>01/12/2025</c:v>
                </c:pt>
                <c:pt idx="20">
                  <c:v>01/01/2026</c:v>
                </c:pt>
                <c:pt idx="21">
                  <c:v>01/02/2026</c:v>
                </c:pt>
                <c:pt idx="22">
                  <c:v>01/03/2026</c:v>
                </c:pt>
                <c:pt idx="23">
                  <c:v>01/04/2026</c:v>
                </c:pt>
                <c:pt idx="24">
                  <c:v>01/05/2026</c:v>
                </c:pt>
              </c:strCache>
            </c:strRef>
          </c:cat>
          <c:val>
            <c:numRef>
              <c:f>'Dynamic Table 1'!$C$5:$C$30</c:f>
              <c:numCache>
                <c:formatCode>General</c:formatCode>
                <c:ptCount val="25"/>
                <c:pt idx="0">
                  <c:v>16700.599999999999</c:v>
                </c:pt>
                <c:pt idx="1">
                  <c:v>173555.1</c:v>
                </c:pt>
                <c:pt idx="2">
                  <c:v>184228</c:v>
                </c:pt>
                <c:pt idx="3">
                  <c:v>172931</c:v>
                </c:pt>
                <c:pt idx="4">
                  <c:v>167922.4</c:v>
                </c:pt>
                <c:pt idx="5">
                  <c:v>182347.8</c:v>
                </c:pt>
                <c:pt idx="6">
                  <c:v>241044.8</c:v>
                </c:pt>
                <c:pt idx="7">
                  <c:v>255391.2</c:v>
                </c:pt>
                <c:pt idx="8">
                  <c:v>150700.4</c:v>
                </c:pt>
                <c:pt idx="9">
                  <c:v>138645</c:v>
                </c:pt>
                <c:pt idx="10">
                  <c:v>178121.3</c:v>
                </c:pt>
                <c:pt idx="11">
                  <c:v>187285.3</c:v>
                </c:pt>
                <c:pt idx="12">
                  <c:v>206371.7</c:v>
                </c:pt>
                <c:pt idx="13">
                  <c:v>215393.5</c:v>
                </c:pt>
                <c:pt idx="14">
                  <c:v>207485.6</c:v>
                </c:pt>
                <c:pt idx="15">
                  <c:v>191606.6</c:v>
                </c:pt>
                <c:pt idx="16">
                  <c:v>210732.5</c:v>
                </c:pt>
                <c:pt idx="17">
                  <c:v>220970.9</c:v>
                </c:pt>
                <c:pt idx="18">
                  <c:v>277937.8</c:v>
                </c:pt>
                <c:pt idx="19">
                  <c:v>324634.7</c:v>
                </c:pt>
                <c:pt idx="20">
                  <c:v>196164.9</c:v>
                </c:pt>
                <c:pt idx="21">
                  <c:v>162811.1</c:v>
                </c:pt>
                <c:pt idx="22">
                  <c:v>236739.3</c:v>
                </c:pt>
                <c:pt idx="23">
                  <c:v>246827.6</c:v>
                </c:pt>
                <c:pt idx="24">
                  <c:v>241771.6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4A-495D-AAD1-6159CCF624E8}"/>
            </c:ext>
          </c:extLst>
        </c:ser>
        <c:ser>
          <c:idx val="2"/>
          <c:order val="2"/>
          <c:tx>
            <c:strRef>
              <c:f>'Dynamic Table 1'!$D$3:$D$4</c:f>
              <c:strCache>
                <c:ptCount val="1"/>
                <c:pt idx="0">
                  <c:v>retail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'Dynamic Table 1'!$A$5:$A$30</c:f>
              <c:strCache>
                <c:ptCount val="25"/>
                <c:pt idx="0">
                  <c:v>01/05/2024</c:v>
                </c:pt>
                <c:pt idx="1">
                  <c:v>01/06/2024</c:v>
                </c:pt>
                <c:pt idx="2">
                  <c:v>01/07/2024</c:v>
                </c:pt>
                <c:pt idx="3">
                  <c:v>01/08/2024</c:v>
                </c:pt>
                <c:pt idx="4">
                  <c:v>01/09/2024</c:v>
                </c:pt>
                <c:pt idx="5">
                  <c:v>01/10/2024</c:v>
                </c:pt>
                <c:pt idx="6">
                  <c:v>01/11/2024</c:v>
                </c:pt>
                <c:pt idx="7">
                  <c:v>01/12/2024</c:v>
                </c:pt>
                <c:pt idx="8">
                  <c:v>01/01/2025</c:v>
                </c:pt>
                <c:pt idx="9">
                  <c:v>01/02/2025</c:v>
                </c:pt>
                <c:pt idx="10">
                  <c:v>01/03/2025</c:v>
                </c:pt>
                <c:pt idx="11">
                  <c:v>01/04/2025</c:v>
                </c:pt>
                <c:pt idx="12">
                  <c:v>01/05/2025</c:v>
                </c:pt>
                <c:pt idx="13">
                  <c:v>01/06/2025</c:v>
                </c:pt>
                <c:pt idx="14">
                  <c:v>01/07/2025</c:v>
                </c:pt>
                <c:pt idx="15">
                  <c:v>01/08/2025</c:v>
                </c:pt>
                <c:pt idx="16">
                  <c:v>01/09/2025</c:v>
                </c:pt>
                <c:pt idx="17">
                  <c:v>01/10/2025</c:v>
                </c:pt>
                <c:pt idx="18">
                  <c:v>01/11/2025</c:v>
                </c:pt>
                <c:pt idx="19">
                  <c:v>01/12/2025</c:v>
                </c:pt>
                <c:pt idx="20">
                  <c:v>01/01/2026</c:v>
                </c:pt>
                <c:pt idx="21">
                  <c:v>01/02/2026</c:v>
                </c:pt>
                <c:pt idx="22">
                  <c:v>01/03/2026</c:v>
                </c:pt>
                <c:pt idx="23">
                  <c:v>01/04/2026</c:v>
                </c:pt>
                <c:pt idx="24">
                  <c:v>01/05/2026</c:v>
                </c:pt>
              </c:strCache>
            </c:strRef>
          </c:cat>
          <c:val>
            <c:numRef>
              <c:f>'Dynamic Table 1'!$D$5:$D$30</c:f>
              <c:numCache>
                <c:formatCode>General</c:formatCode>
                <c:ptCount val="25"/>
                <c:pt idx="0">
                  <c:v>5988.2</c:v>
                </c:pt>
                <c:pt idx="1">
                  <c:v>68382.399999999994</c:v>
                </c:pt>
                <c:pt idx="2">
                  <c:v>53996.5</c:v>
                </c:pt>
                <c:pt idx="3">
                  <c:v>52858.9</c:v>
                </c:pt>
                <c:pt idx="4">
                  <c:v>61746.400000000001</c:v>
                </c:pt>
                <c:pt idx="5">
                  <c:v>66660.2</c:v>
                </c:pt>
                <c:pt idx="6">
                  <c:v>81622.8</c:v>
                </c:pt>
                <c:pt idx="7">
                  <c:v>103213.5</c:v>
                </c:pt>
                <c:pt idx="8">
                  <c:v>57196</c:v>
                </c:pt>
                <c:pt idx="9">
                  <c:v>47076.1</c:v>
                </c:pt>
                <c:pt idx="10">
                  <c:v>67055.199999999997</c:v>
                </c:pt>
                <c:pt idx="11">
                  <c:v>62259.9</c:v>
                </c:pt>
                <c:pt idx="12">
                  <c:v>65435.7</c:v>
                </c:pt>
                <c:pt idx="13">
                  <c:v>88021.8</c:v>
                </c:pt>
                <c:pt idx="14">
                  <c:v>62323.1</c:v>
                </c:pt>
                <c:pt idx="15">
                  <c:v>75895.3</c:v>
                </c:pt>
                <c:pt idx="16">
                  <c:v>68240.2</c:v>
                </c:pt>
                <c:pt idx="17">
                  <c:v>74449.600000000006</c:v>
                </c:pt>
                <c:pt idx="18">
                  <c:v>111366.3</c:v>
                </c:pt>
                <c:pt idx="19">
                  <c:v>111650.7</c:v>
                </c:pt>
                <c:pt idx="20">
                  <c:v>61138.1</c:v>
                </c:pt>
                <c:pt idx="21">
                  <c:v>58041.3</c:v>
                </c:pt>
                <c:pt idx="22">
                  <c:v>69520</c:v>
                </c:pt>
                <c:pt idx="23">
                  <c:v>86007.3</c:v>
                </c:pt>
                <c:pt idx="24">
                  <c:v>74449.600000000006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4A-495D-AAD1-6159CCF624E8}"/>
            </c:ext>
          </c:extLst>
        </c:ser>
        <c:ser>
          <c:idx val="3"/>
          <c:order val="3"/>
          <c:tx>
            <c:strRef>
              <c:f>'Dynamic Table 1'!$E$3:$E$4</c:f>
              <c:strCache>
                <c:ptCount val="1"/>
                <c:pt idx="0">
                  <c:v>wholesale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'Dynamic Table 1'!$A$5:$A$30</c:f>
              <c:strCache>
                <c:ptCount val="25"/>
                <c:pt idx="0">
                  <c:v>01/05/2024</c:v>
                </c:pt>
                <c:pt idx="1">
                  <c:v>01/06/2024</c:v>
                </c:pt>
                <c:pt idx="2">
                  <c:v>01/07/2024</c:v>
                </c:pt>
                <c:pt idx="3">
                  <c:v>01/08/2024</c:v>
                </c:pt>
                <c:pt idx="4">
                  <c:v>01/09/2024</c:v>
                </c:pt>
                <c:pt idx="5">
                  <c:v>01/10/2024</c:v>
                </c:pt>
                <c:pt idx="6">
                  <c:v>01/11/2024</c:v>
                </c:pt>
                <c:pt idx="7">
                  <c:v>01/12/2024</c:v>
                </c:pt>
                <c:pt idx="8">
                  <c:v>01/01/2025</c:v>
                </c:pt>
                <c:pt idx="9">
                  <c:v>01/02/2025</c:v>
                </c:pt>
                <c:pt idx="10">
                  <c:v>01/03/2025</c:v>
                </c:pt>
                <c:pt idx="11">
                  <c:v>01/04/2025</c:v>
                </c:pt>
                <c:pt idx="12">
                  <c:v>01/05/2025</c:v>
                </c:pt>
                <c:pt idx="13">
                  <c:v>01/06/2025</c:v>
                </c:pt>
                <c:pt idx="14">
                  <c:v>01/07/2025</c:v>
                </c:pt>
                <c:pt idx="15">
                  <c:v>01/08/2025</c:v>
                </c:pt>
                <c:pt idx="16">
                  <c:v>01/09/2025</c:v>
                </c:pt>
                <c:pt idx="17">
                  <c:v>01/10/2025</c:v>
                </c:pt>
                <c:pt idx="18">
                  <c:v>01/11/2025</c:v>
                </c:pt>
                <c:pt idx="19">
                  <c:v>01/12/2025</c:v>
                </c:pt>
                <c:pt idx="20">
                  <c:v>01/01/2026</c:v>
                </c:pt>
                <c:pt idx="21">
                  <c:v>01/02/2026</c:v>
                </c:pt>
                <c:pt idx="22">
                  <c:v>01/03/2026</c:v>
                </c:pt>
                <c:pt idx="23">
                  <c:v>01/04/2026</c:v>
                </c:pt>
                <c:pt idx="24">
                  <c:v>01/05/2026</c:v>
                </c:pt>
              </c:strCache>
            </c:strRef>
          </c:cat>
          <c:val>
            <c:numRef>
              <c:f>'Dynamic Table 1'!$E$5:$E$30</c:f>
              <c:numCache>
                <c:formatCode>General</c:formatCode>
                <c:ptCount val="25"/>
                <c:pt idx="0">
                  <c:v>9350</c:v>
                </c:pt>
                <c:pt idx="1">
                  <c:v>67370</c:v>
                </c:pt>
                <c:pt idx="2">
                  <c:v>60660</c:v>
                </c:pt>
                <c:pt idx="3">
                  <c:v>65480</c:v>
                </c:pt>
                <c:pt idx="4">
                  <c:v>63040</c:v>
                </c:pt>
                <c:pt idx="5">
                  <c:v>79560</c:v>
                </c:pt>
                <c:pt idx="6">
                  <c:v>85080</c:v>
                </c:pt>
                <c:pt idx="7">
                  <c:v>94050</c:v>
                </c:pt>
                <c:pt idx="8">
                  <c:v>57330</c:v>
                </c:pt>
                <c:pt idx="9">
                  <c:v>47200</c:v>
                </c:pt>
                <c:pt idx="10">
                  <c:v>67090</c:v>
                </c:pt>
                <c:pt idx="11">
                  <c:v>66630</c:v>
                </c:pt>
                <c:pt idx="12">
                  <c:v>68950</c:v>
                </c:pt>
                <c:pt idx="13">
                  <c:v>85620</c:v>
                </c:pt>
                <c:pt idx="14">
                  <c:v>82940</c:v>
                </c:pt>
                <c:pt idx="15">
                  <c:v>69330</c:v>
                </c:pt>
                <c:pt idx="16">
                  <c:v>69850</c:v>
                </c:pt>
                <c:pt idx="17">
                  <c:v>74990</c:v>
                </c:pt>
                <c:pt idx="18">
                  <c:v>93660</c:v>
                </c:pt>
                <c:pt idx="19">
                  <c:v>115400</c:v>
                </c:pt>
                <c:pt idx="20">
                  <c:v>68530</c:v>
                </c:pt>
                <c:pt idx="21">
                  <c:v>55050</c:v>
                </c:pt>
                <c:pt idx="22">
                  <c:v>83900</c:v>
                </c:pt>
                <c:pt idx="23">
                  <c:v>93690</c:v>
                </c:pt>
                <c:pt idx="24">
                  <c:v>84940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4A-495D-AAD1-6159CCF624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7431615"/>
        <c:axId val="1557426815"/>
      </c:lineChart>
      <c:catAx>
        <c:axId val="1557431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57426815"/>
        <c:crosses val="autoZero"/>
        <c:auto val="1"/>
        <c:lblAlgn val="ctr"/>
        <c:lblOffset val="100"/>
        <c:noMultiLvlLbl val="0"/>
      </c:catAx>
      <c:valAx>
        <c:axId val="155742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57431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[Dashboard.xlsx]Dynamic Table 1!TablaDinámica2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'Dynamic Table 1'!$B$32:$B$33</c:f>
              <c:strCache>
                <c:ptCount val="1"/>
                <c:pt idx="0">
                  <c:v>marketplace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'Dynamic Table 1'!$A$34:$A$59</c:f>
              <c:strCache>
                <c:ptCount val="25"/>
                <c:pt idx="0">
                  <c:v>01/05/2024</c:v>
                </c:pt>
                <c:pt idx="1">
                  <c:v>01/06/2024</c:v>
                </c:pt>
                <c:pt idx="2">
                  <c:v>01/07/2024</c:v>
                </c:pt>
                <c:pt idx="3">
                  <c:v>01/08/2024</c:v>
                </c:pt>
                <c:pt idx="4">
                  <c:v>01/09/2024</c:v>
                </c:pt>
                <c:pt idx="5">
                  <c:v>01/10/2024</c:v>
                </c:pt>
                <c:pt idx="6">
                  <c:v>01/11/2024</c:v>
                </c:pt>
                <c:pt idx="7">
                  <c:v>01/12/2024</c:v>
                </c:pt>
                <c:pt idx="8">
                  <c:v>01/01/2025</c:v>
                </c:pt>
                <c:pt idx="9">
                  <c:v>01/02/2025</c:v>
                </c:pt>
                <c:pt idx="10">
                  <c:v>01/03/2025</c:v>
                </c:pt>
                <c:pt idx="11">
                  <c:v>01/04/2025</c:v>
                </c:pt>
                <c:pt idx="12">
                  <c:v>01/05/2025</c:v>
                </c:pt>
                <c:pt idx="13">
                  <c:v>01/06/2025</c:v>
                </c:pt>
                <c:pt idx="14">
                  <c:v>01/07/2025</c:v>
                </c:pt>
                <c:pt idx="15">
                  <c:v>01/08/2025</c:v>
                </c:pt>
                <c:pt idx="16">
                  <c:v>01/09/2025</c:v>
                </c:pt>
                <c:pt idx="17">
                  <c:v>01/10/2025</c:v>
                </c:pt>
                <c:pt idx="18">
                  <c:v>01/11/2025</c:v>
                </c:pt>
                <c:pt idx="19">
                  <c:v>01/12/2025</c:v>
                </c:pt>
                <c:pt idx="20">
                  <c:v>01/01/2026</c:v>
                </c:pt>
                <c:pt idx="21">
                  <c:v>01/02/2026</c:v>
                </c:pt>
                <c:pt idx="22">
                  <c:v>01/03/2026</c:v>
                </c:pt>
                <c:pt idx="23">
                  <c:v>01/04/2026</c:v>
                </c:pt>
                <c:pt idx="24">
                  <c:v>01/05/2026</c:v>
                </c:pt>
              </c:strCache>
            </c:strRef>
          </c:cat>
          <c:val>
            <c:numRef>
              <c:f>'Dynamic Table 1'!$B$34:$B$59</c:f>
              <c:numCache>
                <c:formatCode>General</c:formatCode>
                <c:ptCount val="25"/>
                <c:pt idx="0">
                  <c:v>1</c:v>
                </c:pt>
                <c:pt idx="1">
                  <c:v>9.18367346938775E-2</c:v>
                </c:pt>
                <c:pt idx="2">
                  <c:v>0.146788990825688</c:v>
                </c:pt>
                <c:pt idx="3">
                  <c:v>0.13559322033898299</c:v>
                </c:pt>
                <c:pt idx="4">
                  <c:v>0.1388888888888889</c:v>
                </c:pt>
                <c:pt idx="5">
                  <c:v>0.15748031496062989</c:v>
                </c:pt>
                <c:pt idx="6">
                  <c:v>0.175438596491228</c:v>
                </c:pt>
                <c:pt idx="7">
                  <c:v>0.1823204419889502</c:v>
                </c:pt>
                <c:pt idx="8">
                  <c:v>0.1041666666666666</c:v>
                </c:pt>
                <c:pt idx="9">
                  <c:v>0.15306122448979589</c:v>
                </c:pt>
                <c:pt idx="10">
                  <c:v>0.10679611650485429</c:v>
                </c:pt>
                <c:pt idx="11">
                  <c:v>0.12837837837837829</c:v>
                </c:pt>
                <c:pt idx="12">
                  <c:v>0.16149068322981361</c:v>
                </c:pt>
                <c:pt idx="13">
                  <c:v>0.15231788079470199</c:v>
                </c:pt>
                <c:pt idx="14">
                  <c:v>0.1310344827586207</c:v>
                </c:pt>
                <c:pt idx="15">
                  <c:v>0.109090909090909</c:v>
                </c:pt>
                <c:pt idx="16">
                  <c:v>0.1418439716312056</c:v>
                </c:pt>
                <c:pt idx="17">
                  <c:v>0.16279069767441859</c:v>
                </c:pt>
                <c:pt idx="18">
                  <c:v>0.13989637305699479</c:v>
                </c:pt>
                <c:pt idx="19">
                  <c:v>9.6256684491978606E-2</c:v>
                </c:pt>
                <c:pt idx="20">
                  <c:v>0.19402985074626861</c:v>
                </c:pt>
                <c:pt idx="21">
                  <c:v>0.2</c:v>
                </c:pt>
                <c:pt idx="22">
                  <c:v>0.1151515151515151</c:v>
                </c:pt>
                <c:pt idx="23">
                  <c:v>0.14723926380368099</c:v>
                </c:pt>
                <c:pt idx="24">
                  <c:v>0.1520467836257309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32-40C8-B4A0-70174CCAA77B}"/>
            </c:ext>
          </c:extLst>
        </c:ser>
        <c:ser>
          <c:idx val="1"/>
          <c:order val="1"/>
          <c:tx>
            <c:strRef>
              <c:f>'Dynamic Table 1'!$C$32:$C$33</c:f>
              <c:strCache>
                <c:ptCount val="1"/>
                <c:pt idx="0">
                  <c:v>online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'Dynamic Table 1'!$A$34:$A$59</c:f>
              <c:strCache>
                <c:ptCount val="25"/>
                <c:pt idx="0">
                  <c:v>01/05/2024</c:v>
                </c:pt>
                <c:pt idx="1">
                  <c:v>01/06/2024</c:v>
                </c:pt>
                <c:pt idx="2">
                  <c:v>01/07/2024</c:v>
                </c:pt>
                <c:pt idx="3">
                  <c:v>01/08/2024</c:v>
                </c:pt>
                <c:pt idx="4">
                  <c:v>01/09/2024</c:v>
                </c:pt>
                <c:pt idx="5">
                  <c:v>01/10/2024</c:v>
                </c:pt>
                <c:pt idx="6">
                  <c:v>01/11/2024</c:v>
                </c:pt>
                <c:pt idx="7">
                  <c:v>01/12/2024</c:v>
                </c:pt>
                <c:pt idx="8">
                  <c:v>01/01/2025</c:v>
                </c:pt>
                <c:pt idx="9">
                  <c:v>01/02/2025</c:v>
                </c:pt>
                <c:pt idx="10">
                  <c:v>01/03/2025</c:v>
                </c:pt>
                <c:pt idx="11">
                  <c:v>01/04/2025</c:v>
                </c:pt>
                <c:pt idx="12">
                  <c:v>01/05/2025</c:v>
                </c:pt>
                <c:pt idx="13">
                  <c:v>01/06/2025</c:v>
                </c:pt>
                <c:pt idx="14">
                  <c:v>01/07/2025</c:v>
                </c:pt>
                <c:pt idx="15">
                  <c:v>01/08/2025</c:v>
                </c:pt>
                <c:pt idx="16">
                  <c:v>01/09/2025</c:v>
                </c:pt>
                <c:pt idx="17">
                  <c:v>01/10/2025</c:v>
                </c:pt>
                <c:pt idx="18">
                  <c:v>01/11/2025</c:v>
                </c:pt>
                <c:pt idx="19">
                  <c:v>01/12/2025</c:v>
                </c:pt>
                <c:pt idx="20">
                  <c:v>01/01/2026</c:v>
                </c:pt>
                <c:pt idx="21">
                  <c:v>01/02/2026</c:v>
                </c:pt>
                <c:pt idx="22">
                  <c:v>01/03/2026</c:v>
                </c:pt>
                <c:pt idx="23">
                  <c:v>01/04/2026</c:v>
                </c:pt>
                <c:pt idx="24">
                  <c:v>01/05/2026</c:v>
                </c:pt>
              </c:strCache>
            </c:strRef>
          </c:cat>
          <c:val>
            <c:numRef>
              <c:f>'Dynamic Table 1'!$C$34:$C$59</c:f>
              <c:numCache>
                <c:formatCode>General</c:formatCode>
                <c:ptCount val="25"/>
                <c:pt idx="0">
                  <c:v>0.17985611510791361</c:v>
                </c:pt>
                <c:pt idx="1">
                  <c:v>0.18290960451977401</c:v>
                </c:pt>
                <c:pt idx="2">
                  <c:v>0.1714490674318507</c:v>
                </c:pt>
                <c:pt idx="3">
                  <c:v>0.18754633061527051</c:v>
                </c:pt>
                <c:pt idx="4">
                  <c:v>0.18106060606060601</c:v>
                </c:pt>
                <c:pt idx="5">
                  <c:v>0.1960916442048517</c:v>
                </c:pt>
                <c:pt idx="6">
                  <c:v>0.16116611661166111</c:v>
                </c:pt>
                <c:pt idx="7">
                  <c:v>0.17125688532799199</c:v>
                </c:pt>
                <c:pt idx="8">
                  <c:v>0.18405428329092449</c:v>
                </c:pt>
                <c:pt idx="9">
                  <c:v>0.18762088974854929</c:v>
                </c:pt>
                <c:pt idx="10">
                  <c:v>0.17847025495750701</c:v>
                </c:pt>
                <c:pt idx="11">
                  <c:v>0.1906666666666666</c:v>
                </c:pt>
                <c:pt idx="12">
                  <c:v>0.166358595194085</c:v>
                </c:pt>
                <c:pt idx="13">
                  <c:v>0.1802869619463506</c:v>
                </c:pt>
                <c:pt idx="14">
                  <c:v>0.1904474002418379</c:v>
                </c:pt>
                <c:pt idx="15">
                  <c:v>0.1762028608582574</c:v>
                </c:pt>
                <c:pt idx="16">
                  <c:v>0.17973462002412541</c:v>
                </c:pt>
                <c:pt idx="17">
                  <c:v>0.18478260869565211</c:v>
                </c:pt>
                <c:pt idx="18">
                  <c:v>0.1774042950513538</c:v>
                </c:pt>
                <c:pt idx="19">
                  <c:v>0.17979797979797971</c:v>
                </c:pt>
                <c:pt idx="20">
                  <c:v>0.177762982689747</c:v>
                </c:pt>
                <c:pt idx="21">
                  <c:v>0.1631863882443928</c:v>
                </c:pt>
                <c:pt idx="22">
                  <c:v>0.1757439640651319</c:v>
                </c:pt>
                <c:pt idx="23">
                  <c:v>0.1778023191606847</c:v>
                </c:pt>
                <c:pt idx="24">
                  <c:v>0.18136714443219401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32-40C8-B4A0-70174CCAA77B}"/>
            </c:ext>
          </c:extLst>
        </c:ser>
        <c:ser>
          <c:idx val="2"/>
          <c:order val="2"/>
          <c:tx>
            <c:strRef>
              <c:f>'Dynamic Table 1'!$D$32:$D$33</c:f>
              <c:strCache>
                <c:ptCount val="1"/>
                <c:pt idx="0">
                  <c:v>retail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'Dynamic Table 1'!$A$34:$A$59</c:f>
              <c:strCache>
                <c:ptCount val="25"/>
                <c:pt idx="0">
                  <c:v>01/05/2024</c:v>
                </c:pt>
                <c:pt idx="1">
                  <c:v>01/06/2024</c:v>
                </c:pt>
                <c:pt idx="2">
                  <c:v>01/07/2024</c:v>
                </c:pt>
                <c:pt idx="3">
                  <c:v>01/08/2024</c:v>
                </c:pt>
                <c:pt idx="4">
                  <c:v>01/09/2024</c:v>
                </c:pt>
                <c:pt idx="5">
                  <c:v>01/10/2024</c:v>
                </c:pt>
                <c:pt idx="6">
                  <c:v>01/11/2024</c:v>
                </c:pt>
                <c:pt idx="7">
                  <c:v>01/12/2024</c:v>
                </c:pt>
                <c:pt idx="8">
                  <c:v>01/01/2025</c:v>
                </c:pt>
                <c:pt idx="9">
                  <c:v>01/02/2025</c:v>
                </c:pt>
                <c:pt idx="10">
                  <c:v>01/03/2025</c:v>
                </c:pt>
                <c:pt idx="11">
                  <c:v>01/04/2025</c:v>
                </c:pt>
                <c:pt idx="12">
                  <c:v>01/05/2025</c:v>
                </c:pt>
                <c:pt idx="13">
                  <c:v>01/06/2025</c:v>
                </c:pt>
                <c:pt idx="14">
                  <c:v>01/07/2025</c:v>
                </c:pt>
                <c:pt idx="15">
                  <c:v>01/08/2025</c:v>
                </c:pt>
                <c:pt idx="16">
                  <c:v>01/09/2025</c:v>
                </c:pt>
                <c:pt idx="17">
                  <c:v>01/10/2025</c:v>
                </c:pt>
                <c:pt idx="18">
                  <c:v>01/11/2025</c:v>
                </c:pt>
                <c:pt idx="19">
                  <c:v>01/12/2025</c:v>
                </c:pt>
                <c:pt idx="20">
                  <c:v>01/01/2026</c:v>
                </c:pt>
                <c:pt idx="21">
                  <c:v>01/02/2026</c:v>
                </c:pt>
                <c:pt idx="22">
                  <c:v>01/03/2026</c:v>
                </c:pt>
                <c:pt idx="23">
                  <c:v>01/04/2026</c:v>
                </c:pt>
                <c:pt idx="24">
                  <c:v>01/05/2026</c:v>
                </c:pt>
              </c:strCache>
            </c:strRef>
          </c:cat>
          <c:val>
            <c:numRef>
              <c:f>'Dynamic Table 1'!$D$34:$D$59</c:f>
              <c:numCache>
                <c:formatCode>General</c:formatCode>
                <c:ptCount val="25"/>
                <c:pt idx="0">
                  <c:v>0.1951219512195122</c:v>
                </c:pt>
                <c:pt idx="1">
                  <c:v>0.1285140562248995</c:v>
                </c:pt>
                <c:pt idx="2">
                  <c:v>0.15345268542199481</c:v>
                </c:pt>
                <c:pt idx="3">
                  <c:v>0.1381074168797953</c:v>
                </c:pt>
                <c:pt idx="4">
                  <c:v>0.1396396396396396</c:v>
                </c:pt>
                <c:pt idx="5">
                  <c:v>0.1452830188679245</c:v>
                </c:pt>
                <c:pt idx="6">
                  <c:v>0.1306451612903225</c:v>
                </c:pt>
                <c:pt idx="7">
                  <c:v>8.8195386702849293E-2</c:v>
                </c:pt>
                <c:pt idx="8">
                  <c:v>0.1147540983606557</c:v>
                </c:pt>
                <c:pt idx="9">
                  <c:v>8.4592145015105702E-2</c:v>
                </c:pt>
                <c:pt idx="10">
                  <c:v>0.125</c:v>
                </c:pt>
                <c:pt idx="11">
                  <c:v>0.1570247933884297</c:v>
                </c:pt>
                <c:pt idx="12">
                  <c:v>0.13424124513618671</c:v>
                </c:pt>
                <c:pt idx="13">
                  <c:v>0.1303630363036303</c:v>
                </c:pt>
                <c:pt idx="14">
                  <c:v>0.18106995884773661</c:v>
                </c:pt>
                <c:pt idx="15">
                  <c:v>9.7785977859778495E-2</c:v>
                </c:pt>
                <c:pt idx="16">
                  <c:v>0.13487475915221581</c:v>
                </c:pt>
                <c:pt idx="17">
                  <c:v>0.14721723518850979</c:v>
                </c:pt>
                <c:pt idx="18">
                  <c:v>0.1493670886075949</c:v>
                </c:pt>
                <c:pt idx="19">
                  <c:v>0.12409638554216861</c:v>
                </c:pt>
                <c:pt idx="20">
                  <c:v>0.14806866952789699</c:v>
                </c:pt>
                <c:pt idx="21">
                  <c:v>0.14380530973451319</c:v>
                </c:pt>
                <c:pt idx="22">
                  <c:v>0.13793103448275859</c:v>
                </c:pt>
                <c:pt idx="23">
                  <c:v>0.1414634146341463</c:v>
                </c:pt>
                <c:pt idx="24">
                  <c:v>0.13660245183887909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32-40C8-B4A0-70174CCAA77B}"/>
            </c:ext>
          </c:extLst>
        </c:ser>
        <c:ser>
          <c:idx val="3"/>
          <c:order val="3"/>
          <c:tx>
            <c:strRef>
              <c:f>'Dynamic Table 1'!$E$32:$E$33</c:f>
              <c:strCache>
                <c:ptCount val="1"/>
                <c:pt idx="0">
                  <c:v>wholesale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'Dynamic Table 1'!$A$34:$A$59</c:f>
              <c:strCache>
                <c:ptCount val="25"/>
                <c:pt idx="0">
                  <c:v>01/05/2024</c:v>
                </c:pt>
                <c:pt idx="1">
                  <c:v>01/06/2024</c:v>
                </c:pt>
                <c:pt idx="2">
                  <c:v>01/07/2024</c:v>
                </c:pt>
                <c:pt idx="3">
                  <c:v>01/08/2024</c:v>
                </c:pt>
                <c:pt idx="4">
                  <c:v>01/09/2024</c:v>
                </c:pt>
                <c:pt idx="5">
                  <c:v>01/10/2024</c:v>
                </c:pt>
                <c:pt idx="6">
                  <c:v>01/11/2024</c:v>
                </c:pt>
                <c:pt idx="7">
                  <c:v>01/12/2024</c:v>
                </c:pt>
                <c:pt idx="8">
                  <c:v>01/01/2025</c:v>
                </c:pt>
                <c:pt idx="9">
                  <c:v>01/02/2025</c:v>
                </c:pt>
                <c:pt idx="10">
                  <c:v>01/03/2025</c:v>
                </c:pt>
                <c:pt idx="11">
                  <c:v>01/04/2025</c:v>
                </c:pt>
                <c:pt idx="12">
                  <c:v>01/05/2025</c:v>
                </c:pt>
                <c:pt idx="13">
                  <c:v>01/06/2025</c:v>
                </c:pt>
                <c:pt idx="14">
                  <c:v>01/07/2025</c:v>
                </c:pt>
                <c:pt idx="15">
                  <c:v>01/08/2025</c:v>
                </c:pt>
                <c:pt idx="16">
                  <c:v>01/09/2025</c:v>
                </c:pt>
                <c:pt idx="17">
                  <c:v>01/10/2025</c:v>
                </c:pt>
                <c:pt idx="18">
                  <c:v>01/11/2025</c:v>
                </c:pt>
                <c:pt idx="19">
                  <c:v>01/12/2025</c:v>
                </c:pt>
                <c:pt idx="20">
                  <c:v>01/01/2026</c:v>
                </c:pt>
                <c:pt idx="21">
                  <c:v>01/02/2026</c:v>
                </c:pt>
                <c:pt idx="22">
                  <c:v>01/03/2026</c:v>
                </c:pt>
                <c:pt idx="23">
                  <c:v>01/04/2026</c:v>
                </c:pt>
                <c:pt idx="24">
                  <c:v>01/05/2026</c:v>
                </c:pt>
              </c:strCache>
            </c:strRef>
          </c:cat>
          <c:val>
            <c:numRef>
              <c:f>'Dynamic Table 1'!$E$34:$E$59</c:f>
              <c:numCache>
                <c:formatCode>General</c:formatCode>
                <c:ptCount val="25"/>
                <c:pt idx="0">
                  <c:v>2.27272727272727E-2</c:v>
                </c:pt>
                <c:pt idx="1">
                  <c:v>2.2922636103151799E-2</c:v>
                </c:pt>
                <c:pt idx="2">
                  <c:v>3.7735849056603703E-2</c:v>
                </c:pt>
                <c:pt idx="3">
                  <c:v>5.0847457627118599E-2</c:v>
                </c:pt>
                <c:pt idx="4">
                  <c:v>2.07100591715976E-2</c:v>
                </c:pt>
                <c:pt idx="5">
                  <c:v>3.8461538461538401E-2</c:v>
                </c:pt>
                <c:pt idx="6">
                  <c:v>4.1002277904327998E-2</c:v>
                </c:pt>
                <c:pt idx="7">
                  <c:v>4.6421663442939999E-2</c:v>
                </c:pt>
                <c:pt idx="8">
                  <c:v>6.6878980891719703E-2</c:v>
                </c:pt>
                <c:pt idx="9">
                  <c:v>5.859375E-2</c:v>
                </c:pt>
                <c:pt idx="10">
                  <c:v>4.94505494505494E-2</c:v>
                </c:pt>
                <c:pt idx="11">
                  <c:v>4.54545454545454E-2</c:v>
                </c:pt>
                <c:pt idx="12">
                  <c:v>4.7368421052631497E-2</c:v>
                </c:pt>
                <c:pt idx="13">
                  <c:v>3.8202247191011202E-2</c:v>
                </c:pt>
                <c:pt idx="14">
                  <c:v>4.1189931350114402E-2</c:v>
                </c:pt>
                <c:pt idx="15">
                  <c:v>1.9073569482288801E-2</c:v>
                </c:pt>
                <c:pt idx="16">
                  <c:v>5.3908355795148202E-2</c:v>
                </c:pt>
                <c:pt idx="17">
                  <c:v>5.0761421319796898E-2</c:v>
                </c:pt>
                <c:pt idx="18">
                  <c:v>5.1759834368530003E-2</c:v>
                </c:pt>
                <c:pt idx="19">
                  <c:v>3.6565977742448297E-2</c:v>
                </c:pt>
                <c:pt idx="20">
                  <c:v>3.3240997229916899E-2</c:v>
                </c:pt>
                <c:pt idx="21">
                  <c:v>3.7288135593220299E-2</c:v>
                </c:pt>
                <c:pt idx="22">
                  <c:v>3.06603773584905E-2</c:v>
                </c:pt>
                <c:pt idx="23">
                  <c:v>3.9337474120082802E-2</c:v>
                </c:pt>
                <c:pt idx="24">
                  <c:v>4.6620046620046603E-2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32-40C8-B4A0-70174CCAA7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7427295"/>
        <c:axId val="1557431135"/>
      </c:lineChart>
      <c:catAx>
        <c:axId val="1557427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57431135"/>
        <c:crosses val="autoZero"/>
        <c:auto val="1"/>
        <c:lblAlgn val="ctr"/>
        <c:lblOffset val="100"/>
        <c:noMultiLvlLbl val="0"/>
      </c:catAx>
      <c:valAx>
        <c:axId val="155743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57427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[Dashboard.xlsx]Dynamic Table 1!TablaDinámica5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'Dynamic Table 1'!$B$61</c:f>
              <c:strCache>
                <c:ptCount val="1"/>
                <c:pt idx="0">
                  <c:v>Suma de realized_net_sales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'Dynamic Table 1'!$A$62:$A$66</c:f>
              <c:strCache>
                <c:ptCount val="4"/>
                <c:pt idx="0">
                  <c:v>marketplace</c:v>
                </c:pt>
                <c:pt idx="1">
                  <c:v>online</c:v>
                </c:pt>
                <c:pt idx="2">
                  <c:v>retail</c:v>
                </c:pt>
                <c:pt idx="3">
                  <c:v>wholesale</c:v>
                </c:pt>
              </c:strCache>
            </c:strRef>
          </c:cat>
          <c:val>
            <c:numRef>
              <c:f>'Dynamic Table 1'!$B$62:$B$66</c:f>
              <c:numCache>
                <c:formatCode>General</c:formatCode>
                <c:ptCount val="4"/>
                <c:pt idx="0">
                  <c:v>443126.8</c:v>
                </c:pt>
                <c:pt idx="1">
                  <c:v>4988320.7</c:v>
                </c:pt>
                <c:pt idx="2">
                  <c:v>1734595.1</c:v>
                </c:pt>
                <c:pt idx="3">
                  <c:v>1809690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56-4685-976E-14D770CE9A7B}"/>
            </c:ext>
          </c:extLst>
        </c:ser>
        <c:ser>
          <c:idx val="1"/>
          <c:order val="1"/>
          <c:tx>
            <c:strRef>
              <c:f>'Dynamic Table 1'!$C$61</c:f>
              <c:strCache>
                <c:ptCount val="1"/>
                <c:pt idx="0">
                  <c:v>Suma de returned_sales_value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'Dynamic Table 1'!$A$62:$A$66</c:f>
              <c:strCache>
                <c:ptCount val="4"/>
                <c:pt idx="0">
                  <c:v>marketplace</c:v>
                </c:pt>
                <c:pt idx="1">
                  <c:v>online</c:v>
                </c:pt>
                <c:pt idx="2">
                  <c:v>retail</c:v>
                </c:pt>
                <c:pt idx="3">
                  <c:v>wholesale</c:v>
                </c:pt>
              </c:strCache>
            </c:strRef>
          </c:cat>
          <c:val>
            <c:numRef>
              <c:f>'Dynamic Table 1'!$C$62:$C$66</c:f>
              <c:numCache>
                <c:formatCode>General</c:formatCode>
                <c:ptCount val="4"/>
                <c:pt idx="0">
                  <c:v>72593.100000000006</c:v>
                </c:pt>
                <c:pt idx="1">
                  <c:v>1085049.2</c:v>
                </c:pt>
                <c:pt idx="2">
                  <c:v>272889.7</c:v>
                </c:pt>
                <c:pt idx="3">
                  <c:v>79850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56-4685-976E-14D770CE9A7B}"/>
            </c:ext>
          </c:extLst>
        </c:ser>
        <c:ser>
          <c:idx val="2"/>
          <c:order val="2"/>
          <c:tx>
            <c:strRef>
              <c:f>'Dynamic Table 1'!$D$61</c:f>
              <c:strCache>
                <c:ptCount val="1"/>
                <c:pt idx="0">
                  <c:v>Suma de taxes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'Dynamic Table 1'!$A$62:$A$66</c:f>
              <c:strCache>
                <c:ptCount val="4"/>
                <c:pt idx="0">
                  <c:v>marketplace</c:v>
                </c:pt>
                <c:pt idx="1">
                  <c:v>online</c:v>
                </c:pt>
                <c:pt idx="2">
                  <c:v>retail</c:v>
                </c:pt>
                <c:pt idx="3">
                  <c:v>wholesale</c:v>
                </c:pt>
              </c:strCache>
            </c:strRef>
          </c:cat>
          <c:val>
            <c:numRef>
              <c:f>'Dynamic Table 1'!$D$62:$D$66</c:f>
              <c:numCache>
                <c:formatCode>General</c:formatCode>
                <c:ptCount val="4"/>
                <c:pt idx="0">
                  <c:v>137090.1</c:v>
                </c:pt>
                <c:pt idx="1">
                  <c:v>1614440.1</c:v>
                </c:pt>
                <c:pt idx="2">
                  <c:v>533635.19999999995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56-4685-976E-14D770CE9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68517999"/>
        <c:axId val="368521839"/>
      </c:barChart>
      <c:catAx>
        <c:axId val="368517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8521839"/>
        <c:crosses val="autoZero"/>
        <c:auto val="1"/>
        <c:lblAlgn val="ctr"/>
        <c:lblOffset val="100"/>
        <c:noMultiLvlLbl val="0"/>
      </c:catAx>
      <c:valAx>
        <c:axId val="36852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8517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[Dashboard.xlsx]Dynamic Table 2!TablaDinámica1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'Dynamic Table 2'!$B$3</c:f>
              <c:strCache>
                <c:ptCount val="1"/>
                <c:pt idx="0">
                  <c:v>Suma de net_sales_at_sale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'Dynamic Table 2'!$A$4:$A$29</c:f>
              <c:strCache>
                <c:ptCount val="25"/>
                <c:pt idx="0">
                  <c:v>01/05/2024</c:v>
                </c:pt>
                <c:pt idx="1">
                  <c:v>01/06/2024</c:v>
                </c:pt>
                <c:pt idx="2">
                  <c:v>01/07/2024</c:v>
                </c:pt>
                <c:pt idx="3">
                  <c:v>01/08/2024</c:v>
                </c:pt>
                <c:pt idx="4">
                  <c:v>01/09/2024</c:v>
                </c:pt>
                <c:pt idx="5">
                  <c:v>01/10/2024</c:v>
                </c:pt>
                <c:pt idx="6">
                  <c:v>01/11/2024</c:v>
                </c:pt>
                <c:pt idx="7">
                  <c:v>01/12/2024</c:v>
                </c:pt>
                <c:pt idx="8">
                  <c:v>01/01/2025</c:v>
                </c:pt>
                <c:pt idx="9">
                  <c:v>01/02/2025</c:v>
                </c:pt>
                <c:pt idx="10">
                  <c:v>01/03/2025</c:v>
                </c:pt>
                <c:pt idx="11">
                  <c:v>01/04/2025</c:v>
                </c:pt>
                <c:pt idx="12">
                  <c:v>01/05/2025</c:v>
                </c:pt>
                <c:pt idx="13">
                  <c:v>01/06/2025</c:v>
                </c:pt>
                <c:pt idx="14">
                  <c:v>01/07/2025</c:v>
                </c:pt>
                <c:pt idx="15">
                  <c:v>01/08/2025</c:v>
                </c:pt>
                <c:pt idx="16">
                  <c:v>01/09/2025</c:v>
                </c:pt>
                <c:pt idx="17">
                  <c:v>01/10/2025</c:v>
                </c:pt>
                <c:pt idx="18">
                  <c:v>01/11/2025</c:v>
                </c:pt>
                <c:pt idx="19">
                  <c:v>01/12/2025</c:v>
                </c:pt>
                <c:pt idx="20">
                  <c:v>01/01/2026</c:v>
                </c:pt>
                <c:pt idx="21">
                  <c:v>01/02/2026</c:v>
                </c:pt>
                <c:pt idx="22">
                  <c:v>01/03/2026</c:v>
                </c:pt>
                <c:pt idx="23">
                  <c:v>01/04/2026</c:v>
                </c:pt>
                <c:pt idx="24">
                  <c:v>01/05/2026</c:v>
                </c:pt>
              </c:strCache>
            </c:strRef>
          </c:cat>
          <c:val>
            <c:numRef>
              <c:f>'Dynamic Table 2'!$B$4:$B$29</c:f>
              <c:numCache>
                <c:formatCode>General</c:formatCode>
                <c:ptCount val="25"/>
                <c:pt idx="0">
                  <c:v>38161.199999999997</c:v>
                </c:pt>
                <c:pt idx="1">
                  <c:v>379588.5</c:v>
                </c:pt>
                <c:pt idx="2">
                  <c:v>366874.2</c:v>
                </c:pt>
                <c:pt idx="3">
                  <c:v>361475.1</c:v>
                </c:pt>
                <c:pt idx="4">
                  <c:v>356868.60000000003</c:v>
                </c:pt>
                <c:pt idx="5">
                  <c:v>407643.5</c:v>
                </c:pt>
                <c:pt idx="6">
                  <c:v>502103.1</c:v>
                </c:pt>
                <c:pt idx="7">
                  <c:v>550572.19999999995</c:v>
                </c:pt>
                <c:pt idx="8">
                  <c:v>325899.09999999998</c:v>
                </c:pt>
                <c:pt idx="9">
                  <c:v>286495.2</c:v>
                </c:pt>
                <c:pt idx="10">
                  <c:v>383770.6</c:v>
                </c:pt>
                <c:pt idx="11">
                  <c:v>394996</c:v>
                </c:pt>
                <c:pt idx="12">
                  <c:v>424671.1</c:v>
                </c:pt>
                <c:pt idx="13">
                  <c:v>470779</c:v>
                </c:pt>
                <c:pt idx="14">
                  <c:v>441147.3</c:v>
                </c:pt>
                <c:pt idx="15">
                  <c:v>406343.7</c:v>
                </c:pt>
                <c:pt idx="16">
                  <c:v>431281.1</c:v>
                </c:pt>
                <c:pt idx="17">
                  <c:v>455832.2</c:v>
                </c:pt>
                <c:pt idx="18">
                  <c:v>591242.4</c:v>
                </c:pt>
                <c:pt idx="19">
                  <c:v>670827.19999999995</c:v>
                </c:pt>
                <c:pt idx="20">
                  <c:v>402934.9</c:v>
                </c:pt>
                <c:pt idx="21">
                  <c:v>334238.7</c:v>
                </c:pt>
                <c:pt idx="22">
                  <c:v>482357</c:v>
                </c:pt>
                <c:pt idx="23">
                  <c:v>523797.8</c:v>
                </c:pt>
                <c:pt idx="24">
                  <c:v>496214.9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3E-4C31-9864-230F75467879}"/>
            </c:ext>
          </c:extLst>
        </c:ser>
        <c:ser>
          <c:idx val="1"/>
          <c:order val="1"/>
          <c:tx>
            <c:strRef>
              <c:f>'Dynamic Table 2'!$C$3</c:f>
              <c:strCache>
                <c:ptCount val="1"/>
                <c:pt idx="0">
                  <c:v>Suma de realized_net_sales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'Dynamic Table 2'!$A$4:$A$29</c:f>
              <c:strCache>
                <c:ptCount val="25"/>
                <c:pt idx="0">
                  <c:v>01/05/2024</c:v>
                </c:pt>
                <c:pt idx="1">
                  <c:v>01/06/2024</c:v>
                </c:pt>
                <c:pt idx="2">
                  <c:v>01/07/2024</c:v>
                </c:pt>
                <c:pt idx="3">
                  <c:v>01/08/2024</c:v>
                </c:pt>
                <c:pt idx="4">
                  <c:v>01/09/2024</c:v>
                </c:pt>
                <c:pt idx="5">
                  <c:v>01/10/2024</c:v>
                </c:pt>
                <c:pt idx="6">
                  <c:v>01/11/2024</c:v>
                </c:pt>
                <c:pt idx="7">
                  <c:v>01/12/2024</c:v>
                </c:pt>
                <c:pt idx="8">
                  <c:v>01/01/2025</c:v>
                </c:pt>
                <c:pt idx="9">
                  <c:v>01/02/2025</c:v>
                </c:pt>
                <c:pt idx="10">
                  <c:v>01/03/2025</c:v>
                </c:pt>
                <c:pt idx="11">
                  <c:v>01/04/2025</c:v>
                </c:pt>
                <c:pt idx="12">
                  <c:v>01/05/2025</c:v>
                </c:pt>
                <c:pt idx="13">
                  <c:v>01/06/2025</c:v>
                </c:pt>
                <c:pt idx="14">
                  <c:v>01/07/2025</c:v>
                </c:pt>
                <c:pt idx="15">
                  <c:v>01/08/2025</c:v>
                </c:pt>
                <c:pt idx="16">
                  <c:v>01/09/2025</c:v>
                </c:pt>
                <c:pt idx="17">
                  <c:v>01/10/2025</c:v>
                </c:pt>
                <c:pt idx="18">
                  <c:v>01/11/2025</c:v>
                </c:pt>
                <c:pt idx="19">
                  <c:v>01/12/2025</c:v>
                </c:pt>
                <c:pt idx="20">
                  <c:v>01/01/2026</c:v>
                </c:pt>
                <c:pt idx="21">
                  <c:v>01/02/2026</c:v>
                </c:pt>
                <c:pt idx="22">
                  <c:v>01/03/2026</c:v>
                </c:pt>
                <c:pt idx="23">
                  <c:v>01/04/2026</c:v>
                </c:pt>
                <c:pt idx="24">
                  <c:v>01/05/2026</c:v>
                </c:pt>
              </c:strCache>
            </c:strRef>
          </c:cat>
          <c:val>
            <c:numRef>
              <c:f>'Dynamic Table 2'!$C$4:$C$29</c:f>
              <c:numCache>
                <c:formatCode>General</c:formatCode>
                <c:ptCount val="25"/>
                <c:pt idx="0">
                  <c:v>32038.799999999999</c:v>
                </c:pt>
                <c:pt idx="1">
                  <c:v>322690.09999999998</c:v>
                </c:pt>
                <c:pt idx="2">
                  <c:v>315774.7</c:v>
                </c:pt>
                <c:pt idx="3">
                  <c:v>307378</c:v>
                </c:pt>
                <c:pt idx="4">
                  <c:v>304361.3</c:v>
                </c:pt>
                <c:pt idx="5">
                  <c:v>343443.7</c:v>
                </c:pt>
                <c:pt idx="6">
                  <c:v>433849.19999999995</c:v>
                </c:pt>
                <c:pt idx="7">
                  <c:v>476244.10000000003</c:v>
                </c:pt>
                <c:pt idx="8">
                  <c:v>277787.40000000002</c:v>
                </c:pt>
                <c:pt idx="9">
                  <c:v>246359</c:v>
                </c:pt>
                <c:pt idx="10">
                  <c:v>326115.20000000001</c:v>
                </c:pt>
                <c:pt idx="11">
                  <c:v>333389.3</c:v>
                </c:pt>
                <c:pt idx="12">
                  <c:v>361921.5</c:v>
                </c:pt>
                <c:pt idx="13">
                  <c:v>409227.7</c:v>
                </c:pt>
                <c:pt idx="14">
                  <c:v>371795.6</c:v>
                </c:pt>
                <c:pt idx="15">
                  <c:v>351897.2</c:v>
                </c:pt>
                <c:pt idx="16">
                  <c:v>370121.1</c:v>
                </c:pt>
                <c:pt idx="17">
                  <c:v>389346.8</c:v>
                </c:pt>
                <c:pt idx="18">
                  <c:v>509942.6</c:v>
                </c:pt>
                <c:pt idx="19">
                  <c:v>576112.19999999995</c:v>
                </c:pt>
                <c:pt idx="20">
                  <c:v>343007.6</c:v>
                </c:pt>
                <c:pt idx="21">
                  <c:v>286994</c:v>
                </c:pt>
                <c:pt idx="22">
                  <c:v>411955.4</c:v>
                </c:pt>
                <c:pt idx="23">
                  <c:v>448889.8</c:v>
                </c:pt>
                <c:pt idx="24">
                  <c:v>425090.30000000005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3E-4C31-9864-230F75467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850240"/>
        <c:axId val="44859840"/>
      </c:lineChart>
      <c:catAx>
        <c:axId val="44850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859840"/>
        <c:crosses val="autoZero"/>
        <c:auto val="1"/>
        <c:lblAlgn val="ctr"/>
        <c:lblOffset val="100"/>
        <c:noMultiLvlLbl val="0"/>
      </c:catAx>
      <c:valAx>
        <c:axId val="4485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85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[Dashboard.xlsx]Dynamic Table 3!TablaDinámica1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'Dynamic Table 3'!$B$1</c:f>
              <c:strCache>
                <c:ptCount val="1"/>
                <c:pt idx="0">
                  <c:v>Suma de contribution_margin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'Dynamic Table 3'!$A$2:$A$6</c:f>
              <c:strCache>
                <c:ptCount val="4"/>
                <c:pt idx="0">
                  <c:v>marketplace</c:v>
                </c:pt>
                <c:pt idx="1">
                  <c:v>online</c:v>
                </c:pt>
                <c:pt idx="2">
                  <c:v>retail</c:v>
                </c:pt>
                <c:pt idx="3">
                  <c:v>wholesale</c:v>
                </c:pt>
              </c:strCache>
            </c:strRef>
          </c:cat>
          <c:val>
            <c:numRef>
              <c:f>'Dynamic Table 3'!$B$2:$B$6</c:f>
              <c:numCache>
                <c:formatCode>General</c:formatCode>
                <c:ptCount val="4"/>
                <c:pt idx="0">
                  <c:v>175211.96</c:v>
                </c:pt>
                <c:pt idx="1">
                  <c:v>1948922.09</c:v>
                </c:pt>
                <c:pt idx="2">
                  <c:v>682865.69</c:v>
                </c:pt>
                <c:pt idx="3">
                  <c:v>945085.17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C7-484A-8609-CB5176B56CBE}"/>
            </c:ext>
          </c:extLst>
        </c:ser>
        <c:ser>
          <c:idx val="1"/>
          <c:order val="1"/>
          <c:tx>
            <c:strRef>
              <c:f>'Dynamic Table 3'!$C$1</c:f>
              <c:strCache>
                <c:ptCount val="1"/>
                <c:pt idx="0">
                  <c:v>Suma de product_cogs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'Dynamic Table 3'!$A$2:$A$6</c:f>
              <c:strCache>
                <c:ptCount val="4"/>
                <c:pt idx="0">
                  <c:v>marketplace</c:v>
                </c:pt>
                <c:pt idx="1">
                  <c:v>online</c:v>
                </c:pt>
                <c:pt idx="2">
                  <c:v>retail</c:v>
                </c:pt>
                <c:pt idx="3">
                  <c:v>wholesale</c:v>
                </c:pt>
              </c:strCache>
            </c:strRef>
          </c:cat>
          <c:val>
            <c:numRef>
              <c:f>'Dynamic Table 3'!$C$2:$C$6</c:f>
              <c:numCache>
                <c:formatCode>General</c:formatCode>
                <c:ptCount val="4"/>
                <c:pt idx="0">
                  <c:v>233296.51</c:v>
                </c:pt>
                <c:pt idx="1">
                  <c:v>2616606.77</c:v>
                </c:pt>
                <c:pt idx="2">
                  <c:v>910056.87</c:v>
                </c:pt>
                <c:pt idx="3">
                  <c:v>749896.18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C7-484A-8609-CB5176B56CBE}"/>
            </c:ext>
          </c:extLst>
        </c:ser>
        <c:ser>
          <c:idx val="2"/>
          <c:order val="2"/>
          <c:tx>
            <c:strRef>
              <c:f>'Dynamic Table 3'!$D$1</c:f>
              <c:strCache>
                <c:ptCount val="1"/>
                <c:pt idx="0">
                  <c:v>Suma de shipping_cost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'Dynamic Table 3'!$A$2:$A$6</c:f>
              <c:strCache>
                <c:ptCount val="4"/>
                <c:pt idx="0">
                  <c:v>marketplace</c:v>
                </c:pt>
                <c:pt idx="1">
                  <c:v>online</c:v>
                </c:pt>
                <c:pt idx="2">
                  <c:v>retail</c:v>
                </c:pt>
                <c:pt idx="3">
                  <c:v>wholesale</c:v>
                </c:pt>
              </c:strCache>
            </c:strRef>
          </c:cat>
          <c:val>
            <c:numRef>
              <c:f>'Dynamic Table 3'!$D$2:$D$6</c:f>
              <c:numCache>
                <c:formatCode>General</c:formatCode>
                <c:ptCount val="4"/>
                <c:pt idx="0">
                  <c:v>21104.36</c:v>
                </c:pt>
                <c:pt idx="1">
                  <c:v>249881.24</c:v>
                </c:pt>
                <c:pt idx="2">
                  <c:v>82937.5</c:v>
                </c:pt>
                <c:pt idx="3">
                  <c:v>61557.51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C7-484A-8609-CB5176B56CBE}"/>
            </c:ext>
          </c:extLst>
        </c:ser>
        <c:ser>
          <c:idx val="3"/>
          <c:order val="3"/>
          <c:tx>
            <c:strRef>
              <c:f>'Dynamic Table 3'!$E$1</c:f>
              <c:strCache>
                <c:ptCount val="1"/>
                <c:pt idx="0">
                  <c:v>Suma de estimated_return_cost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'Dynamic Table 3'!$A$2:$A$6</c:f>
              <c:strCache>
                <c:ptCount val="4"/>
                <c:pt idx="0">
                  <c:v>marketplace</c:v>
                </c:pt>
                <c:pt idx="1">
                  <c:v>online</c:v>
                </c:pt>
                <c:pt idx="2">
                  <c:v>retail</c:v>
                </c:pt>
                <c:pt idx="3">
                  <c:v>wholesale</c:v>
                </c:pt>
              </c:strCache>
            </c:strRef>
          </c:cat>
          <c:val>
            <c:numRef>
              <c:f>'Dynamic Table 3'!$E$2:$E$6</c:f>
              <c:numCache>
                <c:formatCode>General</c:formatCode>
                <c:ptCount val="4"/>
                <c:pt idx="0">
                  <c:v>3243.97</c:v>
                </c:pt>
                <c:pt idx="1">
                  <c:v>49662.7</c:v>
                </c:pt>
                <c:pt idx="2">
                  <c:v>12717.54</c:v>
                </c:pt>
                <c:pt idx="3">
                  <c:v>2811.14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C7-484A-8609-CB5176B56C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50460016"/>
        <c:axId val="850457136"/>
      </c:barChart>
      <c:catAx>
        <c:axId val="85046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0457136"/>
        <c:crosses val="autoZero"/>
        <c:auto val="1"/>
        <c:lblAlgn val="ctr"/>
        <c:lblOffset val="100"/>
        <c:noMultiLvlLbl val="0"/>
      </c:catAx>
      <c:valAx>
        <c:axId val="85045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046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[Dashboard.xlsx]Dynamic Table 3!TablaDinámica2</c:name>
    <c:fmtId val="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'Dynamic Table 3'!$B$9</c:f>
              <c:strCache>
                <c:ptCount val="1"/>
                <c:pt idx="0">
                  <c:v>Suma de contribution_margin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'Dynamic Table 3'!$A$10:$A$18</c:f>
              <c:strCache>
                <c:ptCount val="8"/>
                <c:pt idx="0">
                  <c:v>Accessories</c:v>
                </c:pt>
                <c:pt idx="1">
                  <c:v>Bags</c:v>
                </c:pt>
                <c:pt idx="2">
                  <c:v>Bottoms</c:v>
                </c:pt>
                <c:pt idx="3">
                  <c:v>Dresses</c:v>
                </c:pt>
                <c:pt idx="4">
                  <c:v>Outerwear</c:v>
                </c:pt>
                <c:pt idx="5">
                  <c:v>Shoes</c:v>
                </c:pt>
                <c:pt idx="6">
                  <c:v>Swimwear</c:v>
                </c:pt>
                <c:pt idx="7">
                  <c:v>Tops</c:v>
                </c:pt>
              </c:strCache>
            </c:strRef>
          </c:cat>
          <c:val>
            <c:numRef>
              <c:f>'Dynamic Table 3'!$B$10:$B$18</c:f>
              <c:numCache>
                <c:formatCode>General</c:formatCode>
                <c:ptCount val="8"/>
                <c:pt idx="0">
                  <c:v>97121.59</c:v>
                </c:pt>
                <c:pt idx="1">
                  <c:v>613791.79</c:v>
                </c:pt>
                <c:pt idx="2">
                  <c:v>292659.37</c:v>
                </c:pt>
                <c:pt idx="3">
                  <c:v>657668.27</c:v>
                </c:pt>
                <c:pt idx="4">
                  <c:v>1193140.24</c:v>
                </c:pt>
                <c:pt idx="5">
                  <c:v>521604.88</c:v>
                </c:pt>
                <c:pt idx="6">
                  <c:v>226911.04</c:v>
                </c:pt>
                <c:pt idx="7">
                  <c:v>149187.73000000001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E2-47EF-9EE8-3B54423322F4}"/>
            </c:ext>
          </c:extLst>
        </c:ser>
        <c:ser>
          <c:idx val="1"/>
          <c:order val="1"/>
          <c:tx>
            <c:strRef>
              <c:f>'Dynamic Table 3'!$C$9</c:f>
              <c:strCache>
                <c:ptCount val="1"/>
                <c:pt idx="0">
                  <c:v>Suma de product_cogs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'Dynamic Table 3'!$A$10:$A$18</c:f>
              <c:strCache>
                <c:ptCount val="8"/>
                <c:pt idx="0">
                  <c:v>Accessories</c:v>
                </c:pt>
                <c:pt idx="1">
                  <c:v>Bags</c:v>
                </c:pt>
                <c:pt idx="2">
                  <c:v>Bottoms</c:v>
                </c:pt>
                <c:pt idx="3">
                  <c:v>Dresses</c:v>
                </c:pt>
                <c:pt idx="4">
                  <c:v>Outerwear</c:v>
                </c:pt>
                <c:pt idx="5">
                  <c:v>Shoes</c:v>
                </c:pt>
                <c:pt idx="6">
                  <c:v>Swimwear</c:v>
                </c:pt>
                <c:pt idx="7">
                  <c:v>Tops</c:v>
                </c:pt>
              </c:strCache>
            </c:strRef>
          </c:cat>
          <c:val>
            <c:numRef>
              <c:f>'Dynamic Table 3'!$C$10:$C$18</c:f>
              <c:numCache>
                <c:formatCode>General</c:formatCode>
                <c:ptCount val="8"/>
                <c:pt idx="0">
                  <c:v>155779.31</c:v>
                </c:pt>
                <c:pt idx="1">
                  <c:v>794084.06</c:v>
                </c:pt>
                <c:pt idx="2">
                  <c:v>377899.51</c:v>
                </c:pt>
                <c:pt idx="3">
                  <c:v>766295.89</c:v>
                </c:pt>
                <c:pt idx="4">
                  <c:v>1321340.42</c:v>
                </c:pt>
                <c:pt idx="5">
                  <c:v>561309.14</c:v>
                </c:pt>
                <c:pt idx="6">
                  <c:v>324949.21000000002</c:v>
                </c:pt>
                <c:pt idx="7">
                  <c:v>208198.79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E2-47EF-9EE8-3B54423322F4}"/>
            </c:ext>
          </c:extLst>
        </c:ser>
        <c:ser>
          <c:idx val="2"/>
          <c:order val="2"/>
          <c:tx>
            <c:strRef>
              <c:f>'Dynamic Table 3'!$D$9</c:f>
              <c:strCache>
                <c:ptCount val="1"/>
                <c:pt idx="0">
                  <c:v>Suma de shipping_cost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'Dynamic Table 3'!$A$10:$A$18</c:f>
              <c:strCache>
                <c:ptCount val="8"/>
                <c:pt idx="0">
                  <c:v>Accessories</c:v>
                </c:pt>
                <c:pt idx="1">
                  <c:v>Bags</c:v>
                </c:pt>
                <c:pt idx="2">
                  <c:v>Bottoms</c:v>
                </c:pt>
                <c:pt idx="3">
                  <c:v>Dresses</c:v>
                </c:pt>
                <c:pt idx="4">
                  <c:v>Outerwear</c:v>
                </c:pt>
                <c:pt idx="5">
                  <c:v>Shoes</c:v>
                </c:pt>
                <c:pt idx="6">
                  <c:v>Swimwear</c:v>
                </c:pt>
                <c:pt idx="7">
                  <c:v>Tops</c:v>
                </c:pt>
              </c:strCache>
            </c:strRef>
          </c:cat>
          <c:val>
            <c:numRef>
              <c:f>'Dynamic Table 3'!$D$10:$D$18</c:f>
              <c:numCache>
                <c:formatCode>General</c:formatCode>
                <c:ptCount val="8"/>
                <c:pt idx="0">
                  <c:v>44654.19</c:v>
                </c:pt>
                <c:pt idx="1">
                  <c:v>52504.73</c:v>
                </c:pt>
                <c:pt idx="2">
                  <c:v>53064.67</c:v>
                </c:pt>
                <c:pt idx="3">
                  <c:v>74798.990000000005</c:v>
                </c:pt>
                <c:pt idx="4">
                  <c:v>59651.89</c:v>
                </c:pt>
                <c:pt idx="5">
                  <c:v>46434.31</c:v>
                </c:pt>
                <c:pt idx="6">
                  <c:v>45093.54</c:v>
                </c:pt>
                <c:pt idx="7">
                  <c:v>39278.29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E2-47EF-9EE8-3B54423322F4}"/>
            </c:ext>
          </c:extLst>
        </c:ser>
        <c:ser>
          <c:idx val="3"/>
          <c:order val="3"/>
          <c:tx>
            <c:strRef>
              <c:f>'Dynamic Table 3'!$E$9</c:f>
              <c:strCache>
                <c:ptCount val="1"/>
                <c:pt idx="0">
                  <c:v>Suma de estimated_return_cost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'Dynamic Table 3'!$A$10:$A$18</c:f>
              <c:strCache>
                <c:ptCount val="8"/>
                <c:pt idx="0">
                  <c:v>Accessories</c:v>
                </c:pt>
                <c:pt idx="1">
                  <c:v>Bags</c:v>
                </c:pt>
                <c:pt idx="2">
                  <c:v>Bottoms</c:v>
                </c:pt>
                <c:pt idx="3">
                  <c:v>Dresses</c:v>
                </c:pt>
                <c:pt idx="4">
                  <c:v>Outerwear</c:v>
                </c:pt>
                <c:pt idx="5">
                  <c:v>Shoes</c:v>
                </c:pt>
                <c:pt idx="6">
                  <c:v>Swimwear</c:v>
                </c:pt>
                <c:pt idx="7">
                  <c:v>Tops</c:v>
                </c:pt>
              </c:strCache>
            </c:strRef>
          </c:cat>
          <c:val>
            <c:numRef>
              <c:f>'Dynamic Table 3'!$E$10:$E$18</c:f>
              <c:numCache>
                <c:formatCode>General</c:formatCode>
                <c:ptCount val="8"/>
                <c:pt idx="0">
                  <c:v>8018.81</c:v>
                </c:pt>
                <c:pt idx="1">
                  <c:v>8478.92</c:v>
                </c:pt>
                <c:pt idx="2">
                  <c:v>8643.0499999999993</c:v>
                </c:pt>
                <c:pt idx="3">
                  <c:v>12446.15</c:v>
                </c:pt>
                <c:pt idx="4">
                  <c:v>10139.450000000001</c:v>
                </c:pt>
                <c:pt idx="5">
                  <c:v>6923.27</c:v>
                </c:pt>
                <c:pt idx="6">
                  <c:v>7099.51</c:v>
                </c:pt>
                <c:pt idx="7">
                  <c:v>6686.19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E2-47EF-9EE8-3B54423322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51107216"/>
        <c:axId val="851116816"/>
      </c:barChart>
      <c:catAx>
        <c:axId val="85110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1116816"/>
        <c:crosses val="autoZero"/>
        <c:auto val="1"/>
        <c:lblAlgn val="ctr"/>
        <c:lblOffset val="100"/>
        <c:noMultiLvlLbl val="0"/>
      </c:catAx>
      <c:valAx>
        <c:axId val="85111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110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[Dashboard.xlsx]Dynamic Table 3!TablaDinámica8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'Dynamic Table 3'!$B$20</c:f>
              <c:strCache>
                <c:ptCount val="1"/>
                <c:pt idx="0">
                  <c:v>Suma de contribution_margin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'Dynamic Table 3'!$A$21:$A$31</c:f>
              <c:strCache>
                <c:ptCount val="10"/>
                <c:pt idx="0">
                  <c:v>SKU-05815</c:v>
                </c:pt>
                <c:pt idx="1">
                  <c:v>SKU-01829</c:v>
                </c:pt>
                <c:pt idx="2">
                  <c:v>SKU-06130</c:v>
                </c:pt>
                <c:pt idx="3">
                  <c:v>SKU-02061</c:v>
                </c:pt>
                <c:pt idx="4">
                  <c:v>SKU-05413</c:v>
                </c:pt>
                <c:pt idx="5">
                  <c:v>SKU-05164</c:v>
                </c:pt>
                <c:pt idx="6">
                  <c:v>SKU-04249</c:v>
                </c:pt>
                <c:pt idx="7">
                  <c:v>SKU-03880</c:v>
                </c:pt>
                <c:pt idx="8">
                  <c:v>SKU-01563</c:v>
                </c:pt>
                <c:pt idx="9">
                  <c:v>SKU-09596</c:v>
                </c:pt>
              </c:strCache>
            </c:strRef>
          </c:cat>
          <c:val>
            <c:numRef>
              <c:f>'Dynamic Table 3'!$B$21:$B$31</c:f>
              <c:numCache>
                <c:formatCode>General</c:formatCode>
                <c:ptCount val="10"/>
                <c:pt idx="0">
                  <c:v>-189.28</c:v>
                </c:pt>
                <c:pt idx="1">
                  <c:v>-75.44</c:v>
                </c:pt>
                <c:pt idx="2">
                  <c:v>-67.02</c:v>
                </c:pt>
                <c:pt idx="3">
                  <c:v>8.07</c:v>
                </c:pt>
                <c:pt idx="4">
                  <c:v>628.69000000000005</c:v>
                </c:pt>
                <c:pt idx="5">
                  <c:v>1128.8399999999999</c:v>
                </c:pt>
                <c:pt idx="6">
                  <c:v>1315.3</c:v>
                </c:pt>
                <c:pt idx="7">
                  <c:v>1335.9</c:v>
                </c:pt>
                <c:pt idx="8">
                  <c:v>1718.03</c:v>
                </c:pt>
                <c:pt idx="9">
                  <c:v>2055.23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0D-4610-8068-AE6B46FD20C4}"/>
            </c:ext>
          </c:extLst>
        </c:ser>
        <c:ser>
          <c:idx val="1"/>
          <c:order val="1"/>
          <c:tx>
            <c:strRef>
              <c:f>'Dynamic Table 3'!$C$20</c:f>
              <c:strCache>
                <c:ptCount val="1"/>
                <c:pt idx="0">
                  <c:v>Suma de product_cogs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'Dynamic Table 3'!$A$21:$A$31</c:f>
              <c:strCache>
                <c:ptCount val="10"/>
                <c:pt idx="0">
                  <c:v>SKU-05815</c:v>
                </c:pt>
                <c:pt idx="1">
                  <c:v>SKU-01829</c:v>
                </c:pt>
                <c:pt idx="2">
                  <c:v>SKU-06130</c:v>
                </c:pt>
                <c:pt idx="3">
                  <c:v>SKU-02061</c:v>
                </c:pt>
                <c:pt idx="4">
                  <c:v>SKU-05413</c:v>
                </c:pt>
                <c:pt idx="5">
                  <c:v>SKU-05164</c:v>
                </c:pt>
                <c:pt idx="6">
                  <c:v>SKU-04249</c:v>
                </c:pt>
                <c:pt idx="7">
                  <c:v>SKU-03880</c:v>
                </c:pt>
                <c:pt idx="8">
                  <c:v>SKU-01563</c:v>
                </c:pt>
                <c:pt idx="9">
                  <c:v>SKU-09596</c:v>
                </c:pt>
              </c:strCache>
            </c:strRef>
          </c:cat>
          <c:val>
            <c:numRef>
              <c:f>'Dynamic Table 3'!$C$21:$C$31</c:f>
              <c:numCache>
                <c:formatCode>General</c:formatCode>
                <c:ptCount val="10"/>
                <c:pt idx="0">
                  <c:v>4419.62</c:v>
                </c:pt>
                <c:pt idx="1">
                  <c:v>4085.1</c:v>
                </c:pt>
                <c:pt idx="2">
                  <c:v>4179.07</c:v>
                </c:pt>
                <c:pt idx="3">
                  <c:v>4424.59</c:v>
                </c:pt>
                <c:pt idx="4">
                  <c:v>3667.48</c:v>
                </c:pt>
                <c:pt idx="5">
                  <c:v>7010.46</c:v>
                </c:pt>
                <c:pt idx="6">
                  <c:v>2633.4</c:v>
                </c:pt>
                <c:pt idx="7">
                  <c:v>2782.78</c:v>
                </c:pt>
                <c:pt idx="8">
                  <c:v>6822.06</c:v>
                </c:pt>
                <c:pt idx="9">
                  <c:v>6398.79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D-4610-8068-AE6B46FD20C4}"/>
            </c:ext>
          </c:extLst>
        </c:ser>
        <c:ser>
          <c:idx val="2"/>
          <c:order val="2"/>
          <c:tx>
            <c:strRef>
              <c:f>'Dynamic Table 3'!$D$20</c:f>
              <c:strCache>
                <c:ptCount val="1"/>
                <c:pt idx="0">
                  <c:v>Suma de shipping_cost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'Dynamic Table 3'!$A$21:$A$31</c:f>
              <c:strCache>
                <c:ptCount val="10"/>
                <c:pt idx="0">
                  <c:v>SKU-05815</c:v>
                </c:pt>
                <c:pt idx="1">
                  <c:v>SKU-01829</c:v>
                </c:pt>
                <c:pt idx="2">
                  <c:v>SKU-06130</c:v>
                </c:pt>
                <c:pt idx="3">
                  <c:v>SKU-02061</c:v>
                </c:pt>
                <c:pt idx="4">
                  <c:v>SKU-05413</c:v>
                </c:pt>
                <c:pt idx="5">
                  <c:v>SKU-05164</c:v>
                </c:pt>
                <c:pt idx="6">
                  <c:v>SKU-04249</c:v>
                </c:pt>
                <c:pt idx="7">
                  <c:v>SKU-03880</c:v>
                </c:pt>
                <c:pt idx="8">
                  <c:v>SKU-01563</c:v>
                </c:pt>
                <c:pt idx="9">
                  <c:v>SKU-09596</c:v>
                </c:pt>
              </c:strCache>
            </c:strRef>
          </c:cat>
          <c:val>
            <c:numRef>
              <c:f>'Dynamic Table 3'!$D$21:$D$31</c:f>
              <c:numCache>
                <c:formatCode>General</c:formatCode>
                <c:ptCount val="10"/>
                <c:pt idx="0">
                  <c:v>2075.4299999999998</c:v>
                </c:pt>
                <c:pt idx="1">
                  <c:v>1931.28</c:v>
                </c:pt>
                <c:pt idx="2">
                  <c:v>2047.49</c:v>
                </c:pt>
                <c:pt idx="3">
                  <c:v>2398.08</c:v>
                </c:pt>
                <c:pt idx="4">
                  <c:v>2105.94</c:v>
                </c:pt>
                <c:pt idx="5">
                  <c:v>2194.7600000000002</c:v>
                </c:pt>
                <c:pt idx="6">
                  <c:v>2194.29</c:v>
                </c:pt>
                <c:pt idx="7">
                  <c:v>2255.54</c:v>
                </c:pt>
                <c:pt idx="8">
                  <c:v>1924.41</c:v>
                </c:pt>
                <c:pt idx="9">
                  <c:v>1945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0D-4610-8068-AE6B46FD20C4}"/>
            </c:ext>
          </c:extLst>
        </c:ser>
        <c:ser>
          <c:idx val="3"/>
          <c:order val="3"/>
          <c:tx>
            <c:strRef>
              <c:f>'Dynamic Table 3'!$E$20</c:f>
              <c:strCache>
                <c:ptCount val="1"/>
                <c:pt idx="0">
                  <c:v>Suma de estimated_return_cost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'Dynamic Table 3'!$A$21:$A$31</c:f>
              <c:strCache>
                <c:ptCount val="10"/>
                <c:pt idx="0">
                  <c:v>SKU-05815</c:v>
                </c:pt>
                <c:pt idx="1">
                  <c:v>SKU-01829</c:v>
                </c:pt>
                <c:pt idx="2">
                  <c:v>SKU-06130</c:v>
                </c:pt>
                <c:pt idx="3">
                  <c:v>SKU-02061</c:v>
                </c:pt>
                <c:pt idx="4">
                  <c:v>SKU-05413</c:v>
                </c:pt>
                <c:pt idx="5">
                  <c:v>SKU-05164</c:v>
                </c:pt>
                <c:pt idx="6">
                  <c:v>SKU-04249</c:v>
                </c:pt>
                <c:pt idx="7">
                  <c:v>SKU-03880</c:v>
                </c:pt>
                <c:pt idx="8">
                  <c:v>SKU-01563</c:v>
                </c:pt>
                <c:pt idx="9">
                  <c:v>SKU-09596</c:v>
                </c:pt>
              </c:strCache>
            </c:strRef>
          </c:cat>
          <c:val>
            <c:numRef>
              <c:f>'Dynamic Table 3'!$E$21:$E$31</c:f>
              <c:numCache>
                <c:formatCode>General</c:formatCode>
                <c:ptCount val="10"/>
                <c:pt idx="0">
                  <c:v>414.83</c:v>
                </c:pt>
                <c:pt idx="1">
                  <c:v>442.76</c:v>
                </c:pt>
                <c:pt idx="2">
                  <c:v>375.96</c:v>
                </c:pt>
                <c:pt idx="3">
                  <c:v>396.56</c:v>
                </c:pt>
                <c:pt idx="4">
                  <c:v>402.19</c:v>
                </c:pt>
                <c:pt idx="5">
                  <c:v>405.94</c:v>
                </c:pt>
                <c:pt idx="6">
                  <c:v>444.71</c:v>
                </c:pt>
                <c:pt idx="7">
                  <c:v>466.38</c:v>
                </c:pt>
                <c:pt idx="8">
                  <c:v>228</c:v>
                </c:pt>
                <c:pt idx="9">
                  <c:v>430.48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C0D-4610-8068-AE6B46FD20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6516608"/>
        <c:axId val="1096522368"/>
      </c:barChart>
      <c:catAx>
        <c:axId val="109651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6522368"/>
        <c:crosses val="autoZero"/>
        <c:auto val="1"/>
        <c:lblAlgn val="ctr"/>
        <c:lblOffset val="100"/>
        <c:noMultiLvlLbl val="0"/>
      </c:catAx>
      <c:valAx>
        <c:axId val="1096522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6516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[Dashboard.xlsx]Dynamic Table 3!TablaDinámica9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'Dynamic Table 3'!$B$34</c:f>
              <c:strCache>
                <c:ptCount val="1"/>
                <c:pt idx="0">
                  <c:v>Suma de contribution_margin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'Dynamic Table 3'!$A$35:$A$45</c:f>
              <c:strCache>
                <c:ptCount val="10"/>
                <c:pt idx="0">
                  <c:v>SKU-05221</c:v>
                </c:pt>
                <c:pt idx="1">
                  <c:v>SKU-03014</c:v>
                </c:pt>
                <c:pt idx="2">
                  <c:v>SKU-08583</c:v>
                </c:pt>
                <c:pt idx="3">
                  <c:v>SKU-07141</c:v>
                </c:pt>
                <c:pt idx="4">
                  <c:v>SKU-01813</c:v>
                </c:pt>
                <c:pt idx="5">
                  <c:v>SKU-04869</c:v>
                </c:pt>
                <c:pt idx="6">
                  <c:v>SKU-03146</c:v>
                </c:pt>
                <c:pt idx="7">
                  <c:v>SKU-02918</c:v>
                </c:pt>
                <c:pt idx="8">
                  <c:v>SKU-02680</c:v>
                </c:pt>
                <c:pt idx="9">
                  <c:v>SKU-03564</c:v>
                </c:pt>
              </c:strCache>
            </c:strRef>
          </c:cat>
          <c:val>
            <c:numRef>
              <c:f>'Dynamic Table 3'!$B$35:$B$45</c:f>
              <c:numCache>
                <c:formatCode>General</c:formatCode>
                <c:ptCount val="10"/>
                <c:pt idx="0">
                  <c:v>69868.070000000007</c:v>
                </c:pt>
                <c:pt idx="1">
                  <c:v>64824.86</c:v>
                </c:pt>
                <c:pt idx="2">
                  <c:v>62075.25</c:v>
                </c:pt>
                <c:pt idx="3">
                  <c:v>61384.13</c:v>
                </c:pt>
                <c:pt idx="4">
                  <c:v>59637.47</c:v>
                </c:pt>
                <c:pt idx="5">
                  <c:v>58223.15</c:v>
                </c:pt>
                <c:pt idx="6">
                  <c:v>52221.86</c:v>
                </c:pt>
                <c:pt idx="7">
                  <c:v>51020.77</c:v>
                </c:pt>
                <c:pt idx="8">
                  <c:v>48396.02</c:v>
                </c:pt>
                <c:pt idx="9">
                  <c:v>48307.39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0B-45E1-B55F-6AA25E5A6C64}"/>
            </c:ext>
          </c:extLst>
        </c:ser>
        <c:ser>
          <c:idx val="1"/>
          <c:order val="1"/>
          <c:tx>
            <c:strRef>
              <c:f>'Dynamic Table 3'!$C$34</c:f>
              <c:strCache>
                <c:ptCount val="1"/>
                <c:pt idx="0">
                  <c:v>Suma de product_cogs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'Dynamic Table 3'!$A$35:$A$45</c:f>
              <c:strCache>
                <c:ptCount val="10"/>
                <c:pt idx="0">
                  <c:v>SKU-05221</c:v>
                </c:pt>
                <c:pt idx="1">
                  <c:v>SKU-03014</c:v>
                </c:pt>
                <c:pt idx="2">
                  <c:v>SKU-08583</c:v>
                </c:pt>
                <c:pt idx="3">
                  <c:v>SKU-07141</c:v>
                </c:pt>
                <c:pt idx="4">
                  <c:v>SKU-01813</c:v>
                </c:pt>
                <c:pt idx="5">
                  <c:v>SKU-04869</c:v>
                </c:pt>
                <c:pt idx="6">
                  <c:v>SKU-03146</c:v>
                </c:pt>
                <c:pt idx="7">
                  <c:v>SKU-02918</c:v>
                </c:pt>
                <c:pt idx="8">
                  <c:v>SKU-02680</c:v>
                </c:pt>
                <c:pt idx="9">
                  <c:v>SKU-03564</c:v>
                </c:pt>
              </c:strCache>
            </c:strRef>
          </c:cat>
          <c:val>
            <c:numRef>
              <c:f>'Dynamic Table 3'!$C$35:$C$45</c:f>
              <c:numCache>
                <c:formatCode>General</c:formatCode>
                <c:ptCount val="10"/>
                <c:pt idx="0">
                  <c:v>56754.559999999998</c:v>
                </c:pt>
                <c:pt idx="1">
                  <c:v>46979.839999999997</c:v>
                </c:pt>
                <c:pt idx="2">
                  <c:v>63455.42</c:v>
                </c:pt>
                <c:pt idx="3">
                  <c:v>46544.22</c:v>
                </c:pt>
                <c:pt idx="4">
                  <c:v>73772.27</c:v>
                </c:pt>
                <c:pt idx="5">
                  <c:v>65998.8</c:v>
                </c:pt>
                <c:pt idx="6">
                  <c:v>36784.300000000003</c:v>
                </c:pt>
                <c:pt idx="7">
                  <c:v>45488.79</c:v>
                </c:pt>
                <c:pt idx="8">
                  <c:v>35503</c:v>
                </c:pt>
                <c:pt idx="9">
                  <c:v>42692.1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0B-45E1-B55F-6AA25E5A6C64}"/>
            </c:ext>
          </c:extLst>
        </c:ser>
        <c:ser>
          <c:idx val="2"/>
          <c:order val="2"/>
          <c:tx>
            <c:strRef>
              <c:f>'Dynamic Table 3'!$D$34</c:f>
              <c:strCache>
                <c:ptCount val="1"/>
                <c:pt idx="0">
                  <c:v>Suma de shipping_cost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'Dynamic Table 3'!$A$35:$A$45</c:f>
              <c:strCache>
                <c:ptCount val="10"/>
                <c:pt idx="0">
                  <c:v>SKU-05221</c:v>
                </c:pt>
                <c:pt idx="1">
                  <c:v>SKU-03014</c:v>
                </c:pt>
                <c:pt idx="2">
                  <c:v>SKU-08583</c:v>
                </c:pt>
                <c:pt idx="3">
                  <c:v>SKU-07141</c:v>
                </c:pt>
                <c:pt idx="4">
                  <c:v>SKU-01813</c:v>
                </c:pt>
                <c:pt idx="5">
                  <c:v>SKU-04869</c:v>
                </c:pt>
                <c:pt idx="6">
                  <c:v>SKU-03146</c:v>
                </c:pt>
                <c:pt idx="7">
                  <c:v>SKU-02918</c:v>
                </c:pt>
                <c:pt idx="8">
                  <c:v>SKU-02680</c:v>
                </c:pt>
                <c:pt idx="9">
                  <c:v>SKU-03564</c:v>
                </c:pt>
              </c:strCache>
            </c:strRef>
          </c:cat>
          <c:val>
            <c:numRef>
              <c:f>'Dynamic Table 3'!$D$35:$D$45</c:f>
              <c:numCache>
                <c:formatCode>General</c:formatCode>
                <c:ptCount val="10"/>
                <c:pt idx="0">
                  <c:v>2105.16</c:v>
                </c:pt>
                <c:pt idx="1">
                  <c:v>1786.04</c:v>
                </c:pt>
                <c:pt idx="2">
                  <c:v>2162.5300000000002</c:v>
                </c:pt>
                <c:pt idx="3">
                  <c:v>2017.98</c:v>
                </c:pt>
                <c:pt idx="4">
                  <c:v>2152.25</c:v>
                </c:pt>
                <c:pt idx="5">
                  <c:v>2268.4899999999998</c:v>
                </c:pt>
                <c:pt idx="6">
                  <c:v>1872.27</c:v>
                </c:pt>
                <c:pt idx="7">
                  <c:v>2086.3000000000002</c:v>
                </c:pt>
                <c:pt idx="8">
                  <c:v>2066.56</c:v>
                </c:pt>
                <c:pt idx="9">
                  <c:v>2072.94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0B-45E1-B55F-6AA25E5A6C64}"/>
            </c:ext>
          </c:extLst>
        </c:ser>
        <c:ser>
          <c:idx val="3"/>
          <c:order val="3"/>
          <c:tx>
            <c:strRef>
              <c:f>'Dynamic Table 3'!$E$34</c:f>
              <c:strCache>
                <c:ptCount val="1"/>
                <c:pt idx="0">
                  <c:v>Suma de estimated_return_cost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'Dynamic Table 3'!$A$35:$A$45</c:f>
              <c:strCache>
                <c:ptCount val="10"/>
                <c:pt idx="0">
                  <c:v>SKU-05221</c:v>
                </c:pt>
                <c:pt idx="1">
                  <c:v>SKU-03014</c:v>
                </c:pt>
                <c:pt idx="2">
                  <c:v>SKU-08583</c:v>
                </c:pt>
                <c:pt idx="3">
                  <c:v>SKU-07141</c:v>
                </c:pt>
                <c:pt idx="4">
                  <c:v>SKU-01813</c:v>
                </c:pt>
                <c:pt idx="5">
                  <c:v>SKU-04869</c:v>
                </c:pt>
                <c:pt idx="6">
                  <c:v>SKU-03146</c:v>
                </c:pt>
                <c:pt idx="7">
                  <c:v>SKU-02918</c:v>
                </c:pt>
                <c:pt idx="8">
                  <c:v>SKU-02680</c:v>
                </c:pt>
                <c:pt idx="9">
                  <c:v>SKU-03564</c:v>
                </c:pt>
              </c:strCache>
            </c:strRef>
          </c:cat>
          <c:val>
            <c:numRef>
              <c:f>'Dynamic Table 3'!$E$35:$E$45</c:f>
              <c:numCache>
                <c:formatCode>General</c:formatCode>
                <c:ptCount val="10"/>
                <c:pt idx="0">
                  <c:v>329.71</c:v>
                </c:pt>
                <c:pt idx="1">
                  <c:v>352.76</c:v>
                </c:pt>
                <c:pt idx="2">
                  <c:v>291.8</c:v>
                </c:pt>
                <c:pt idx="3">
                  <c:v>372.67</c:v>
                </c:pt>
                <c:pt idx="4">
                  <c:v>359.51</c:v>
                </c:pt>
                <c:pt idx="5">
                  <c:v>251.56</c:v>
                </c:pt>
                <c:pt idx="6">
                  <c:v>377.07</c:v>
                </c:pt>
                <c:pt idx="7">
                  <c:v>386.14</c:v>
                </c:pt>
                <c:pt idx="8">
                  <c:v>394.42</c:v>
                </c:pt>
                <c:pt idx="9">
                  <c:v>320.57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0B-45E1-B55F-6AA25E5A6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90289728"/>
        <c:axId val="1190290208"/>
      </c:barChart>
      <c:catAx>
        <c:axId val="119028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0290208"/>
        <c:crosses val="autoZero"/>
        <c:auto val="1"/>
        <c:lblAlgn val="ctr"/>
        <c:lblOffset val="100"/>
        <c:noMultiLvlLbl val="0"/>
      </c:catAx>
      <c:valAx>
        <c:axId val="119029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0289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761440</xdr:colOff>
      <xdr:row>6</xdr:row>
      <xdr:rowOff>98611</xdr:rowOff>
    </xdr:from>
    <xdr:to>
      <xdr:col>8</xdr:col>
      <xdr:colOff>380999</xdr:colOff>
      <xdr:row>25</xdr:row>
      <xdr:rowOff>17649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1EBE8F-C7CD-4F53-996D-E468EE7B1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537322</xdr:colOff>
      <xdr:row>6</xdr:row>
      <xdr:rowOff>130549</xdr:rowOff>
    </xdr:from>
    <xdr:to>
      <xdr:col>16</xdr:col>
      <xdr:colOff>289672</xdr:colOff>
      <xdr:row>25</xdr:row>
      <xdr:rowOff>6724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83ED0A9-30A1-4BAC-BD34-F1E56AC005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546846</xdr:colOff>
      <xdr:row>25</xdr:row>
      <xdr:rowOff>163606</xdr:rowOff>
    </xdr:from>
    <xdr:to>
      <xdr:col>16</xdr:col>
      <xdr:colOff>251571</xdr:colOff>
      <xdr:row>42</xdr:row>
      <xdr:rowOff>144556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3CC5F6B-14A8-4ADF-BB8B-1A54CF1949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45</xdr:row>
      <xdr:rowOff>190499</xdr:rowOff>
    </xdr:from>
    <xdr:to>
      <xdr:col>8</xdr:col>
      <xdr:colOff>381000</xdr:colOff>
      <xdr:row>63</xdr:row>
      <xdr:rowOff>112058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1817DC2-8EB0-43B0-AD10-DC2C8E84BB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67</xdr:row>
      <xdr:rowOff>0</xdr:rowOff>
    </xdr:from>
    <xdr:to>
      <xdr:col>8</xdr:col>
      <xdr:colOff>352425</xdr:colOff>
      <xdr:row>84</xdr:row>
      <xdr:rowOff>100013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DF5B49F-C611-405D-B167-1A0D0EA821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9525</xdr:colOff>
      <xdr:row>85</xdr:row>
      <xdr:rowOff>114299</xdr:rowOff>
    </xdr:from>
    <xdr:to>
      <xdr:col>8</xdr:col>
      <xdr:colOff>352425</xdr:colOff>
      <xdr:row>101</xdr:row>
      <xdr:rowOff>38100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A740956-FAFA-4C6C-85A1-875224BBCD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9525</xdr:colOff>
      <xdr:row>102</xdr:row>
      <xdr:rowOff>66675</xdr:rowOff>
    </xdr:from>
    <xdr:to>
      <xdr:col>8</xdr:col>
      <xdr:colOff>352425</xdr:colOff>
      <xdr:row>118</xdr:row>
      <xdr:rowOff>114301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1DC7F95-DCEB-42ED-9EB7-44382B2B30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581025</xdr:colOff>
      <xdr:row>102</xdr:row>
      <xdr:rowOff>66675</xdr:rowOff>
    </xdr:from>
    <xdr:to>
      <xdr:col>14</xdr:col>
      <xdr:colOff>542925</xdr:colOff>
      <xdr:row>118</xdr:row>
      <xdr:rowOff>104775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FC48026A-BC4F-4FC7-A4AA-FB5566641C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hongkai Dai" refreshedDate="46250.818526736111" createdVersion="8" refreshedVersion="8" minRefreshableVersion="3" recordCount="100" xr:uid="{3DFCFD0C-4518-47F3-994C-7E5019217462}">
  <cacheSource type="worksheet">
    <worksheetSource name="export_1A_excel"/>
  </cacheSource>
  <cacheFields count="15">
    <cacheField name="year_month" numFmtId="14">
      <sharedItems containsSemiMixedTypes="0" containsNonDate="0" containsDate="1" containsString="0" minDate="2024-05-01T00:00:00" maxDate="2026-05-02T00:00:00" count="25"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</sharedItems>
      <fieldGroup par="14"/>
    </cacheField>
    <cacheField name="channel" numFmtId="0">
      <sharedItems count="4">
        <s v="marketplace"/>
        <s v="online"/>
        <s v="retail"/>
        <s v="wholesale"/>
      </sharedItems>
    </cacheField>
    <cacheField name="units_sold" numFmtId="0">
      <sharedItems containsSemiMixedTypes="0" containsString="0" containsNumber="1" containsInteger="1" minValue="3" maxValue="2475"/>
    </cacheField>
    <cacheField name="units_returned" numFmtId="0">
      <sharedItems containsSemiMixedTypes="0" containsString="0" containsNumber="1" containsInteger="1" minValue="1" maxValue="445"/>
    </cacheField>
    <cacheField name="gross_sales" numFmtId="0">
      <sharedItems containsSemiMixedTypes="0" containsString="0" containsNumber="1" containsInteger="1" minValue="490" maxValue="501600"/>
    </cacheField>
    <cacheField name="taxes" numFmtId="0">
      <sharedItems containsSemiMixedTypes="0" containsString="0" containsNumber="1" minValue="0" maxValue="105336"/>
    </cacheField>
    <cacheField name="net_sales" numFmtId="0">
      <sharedItems containsSemiMixedTypes="0" containsString="0" containsNumber="1" minValue="387.1" maxValue="396264"/>
    </cacheField>
    <cacheField name="returned_sales_value" numFmtId="0">
      <sharedItems containsSemiMixedTypes="0" containsString="0" containsNumber="1" minValue="150" maxValue="71629.3"/>
    </cacheField>
    <cacheField name="realized_net_sales" numFmtId="0">
      <sharedItems containsSemiMixedTypes="0" containsString="0" containsNumber="1" minValue="0" maxValue="324634.7"/>
    </cacheField>
    <cacheField name="return_rate" numFmtId="0">
      <sharedItems containsSemiMixedTypes="0" containsString="0" containsNumber="1" minValue="1.9073569482288801E-2" maxValue="1"/>
    </cacheField>
    <cacheField name="net_sales_per_unit" numFmtId="0">
      <sharedItems containsSemiMixedTypes="0" containsString="0" containsNumber="1" minValue="126.765740741" maxValue="215.90909090900001"/>
    </cacheField>
    <cacheField name="realized_net_sales_per_unit" numFmtId="0">
      <sharedItems containsSemiMixedTypes="0" containsString="0" containsNumber="1" minValue="0" maxValue="212.5"/>
    </cacheField>
    <cacheField name="Meses (year_month)" numFmtId="0" databaseField="0">
      <fieldGroup base="0">
        <rangePr groupBy="months" startDate="2024-05-01T00:00:00" endDate="2026-05-02T00:00:00"/>
        <groupItems count="14">
          <s v="&lt;01/05/2024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2/05/2026"/>
        </groupItems>
      </fieldGroup>
    </cacheField>
    <cacheField name="Trimestres (year_month)" numFmtId="0" databaseField="0">
      <fieldGroup base="0">
        <rangePr groupBy="quarters" startDate="2024-05-01T00:00:00" endDate="2026-05-02T00:00:00"/>
        <groupItems count="6">
          <s v="&lt;01/05/2024"/>
          <s v="Trim.1"/>
          <s v="Trim.2"/>
          <s v="Trim.3"/>
          <s v="Trim.4"/>
          <s v="&gt;02/05/2026"/>
        </groupItems>
      </fieldGroup>
    </cacheField>
    <cacheField name="Años (year_month)" numFmtId="0" databaseField="0">
      <fieldGroup base="0">
        <rangePr groupBy="years" startDate="2024-05-01T00:00:00" endDate="2026-05-02T00:00:00"/>
        <groupItems count="5">
          <s v="&lt;01/05/2024"/>
          <s v="2024"/>
          <s v="2025"/>
          <s v="2026"/>
          <s v="&gt;02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hongkai Dai" refreshedDate="46250.829687962963" createdVersion="8" refreshedVersion="8" minRefreshableVersion="3" recordCount="101" xr:uid="{2D89537F-A56E-40EA-A1E2-D36337A7D9FD}">
  <cacheSource type="worksheet">
    <worksheetSource ref="A1:L1048576" sheet="export 1A_excel"/>
  </cacheSource>
  <cacheFields count="15">
    <cacheField name="year_month" numFmtId="0">
      <sharedItems containsNonDate="0" containsDate="1" containsString="0" containsBlank="1" minDate="2024-05-01T00:00:00" maxDate="2026-05-02T00:00:00" count="26"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m/>
      </sharedItems>
      <fieldGroup par="14"/>
    </cacheField>
    <cacheField name="channel" numFmtId="0">
      <sharedItems containsBlank="1" count="5">
        <s v="marketplace"/>
        <s v="online"/>
        <s v="retail"/>
        <s v="wholesale"/>
        <m/>
      </sharedItems>
    </cacheField>
    <cacheField name="units_sold" numFmtId="0">
      <sharedItems containsString="0" containsBlank="1" containsNumber="1" containsInteger="1" minValue="3" maxValue="2475"/>
    </cacheField>
    <cacheField name="units_returned" numFmtId="0">
      <sharedItems containsString="0" containsBlank="1" containsNumber="1" containsInteger="1" minValue="1" maxValue="445"/>
    </cacheField>
    <cacheField name="gross_sales" numFmtId="0">
      <sharedItems containsString="0" containsBlank="1" containsNumber="1" containsInteger="1" minValue="490" maxValue="501600"/>
    </cacheField>
    <cacheField name="taxes" numFmtId="0">
      <sharedItems containsString="0" containsBlank="1" containsNumber="1" minValue="0" maxValue="105336"/>
    </cacheField>
    <cacheField name="net_sales" numFmtId="0">
      <sharedItems containsString="0" containsBlank="1" containsNumber="1" minValue="387.1" maxValue="396264"/>
    </cacheField>
    <cacheField name="returned_sales_value" numFmtId="0">
      <sharedItems containsString="0" containsBlank="1" containsNumber="1" minValue="150" maxValue="71629.3"/>
    </cacheField>
    <cacheField name="realized_net_sales" numFmtId="0">
      <sharedItems containsString="0" containsBlank="1" containsNumber="1" minValue="0" maxValue="324634.7"/>
    </cacheField>
    <cacheField name="return_rate" numFmtId="0">
      <sharedItems containsString="0" containsBlank="1" containsNumber="1" minValue="1.9073569482288801E-2" maxValue="1"/>
    </cacheField>
    <cacheField name="net_sales_per_unit" numFmtId="0">
      <sharedItems containsString="0" containsBlank="1" containsNumber="1" minValue="126.765740741" maxValue="215.90909090900001"/>
    </cacheField>
    <cacheField name="realized_net_sales_per_unit" numFmtId="0">
      <sharedItems containsString="0" containsBlank="1" containsNumber="1" minValue="0" maxValue="212.5"/>
    </cacheField>
    <cacheField name="Meses (year_month)" numFmtId="0" databaseField="0">
      <fieldGroup base="0">
        <rangePr groupBy="months" startDate="2024-05-01T00:00:00" endDate="2026-05-02T00:00:00"/>
        <groupItems count="14">
          <s v="&lt;01/05/2024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2/05/2026"/>
        </groupItems>
      </fieldGroup>
    </cacheField>
    <cacheField name="Trimestres (year_month)" numFmtId="0" databaseField="0">
      <fieldGroup base="0">
        <rangePr groupBy="quarters" startDate="2024-05-01T00:00:00" endDate="2026-05-02T00:00:00"/>
        <groupItems count="6">
          <s v="&lt;01/05/2024"/>
          <s v="Trim.1"/>
          <s v="Trim.2"/>
          <s v="Trim.3"/>
          <s v="Trim.4"/>
          <s v="&gt;02/05/2026"/>
        </groupItems>
      </fieldGroup>
    </cacheField>
    <cacheField name="Años (year_month)" numFmtId="0" databaseField="0">
      <fieldGroup base="0">
        <rangePr groupBy="years" startDate="2024-05-01T00:00:00" endDate="2026-05-02T00:00:00"/>
        <groupItems count="5">
          <s v="&lt;01/05/2024"/>
          <s v="2024"/>
          <s v="2025"/>
          <s v="2026"/>
          <s v="&gt;02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hongkai Dai" refreshedDate="46250.836281828706" createdVersion="8" refreshedVersion="8" minRefreshableVersion="3" recordCount="4" xr:uid="{1709949C-A83E-43A1-B990-E3A121438A09}">
  <cacheSource type="worksheet">
    <worksheetSource name="export_1B_excel"/>
  </cacheSource>
  <cacheFields count="13">
    <cacheField name="channel" numFmtId="0">
      <sharedItems count="4">
        <s v="online"/>
        <s v="wholesale"/>
        <s v="retail"/>
        <s v="marketplace"/>
      </sharedItems>
    </cacheField>
    <cacheField name="units_sold" numFmtId="0">
      <sharedItems containsSemiMixedTypes="0" containsString="0" containsNumber="1" containsInteger="1" minValue="3300" maxValue="38684"/>
    </cacheField>
    <cacheField name="units_returned" numFmtId="0">
      <sharedItems containsSemiMixedTypes="0" containsString="0" containsNumber="1" containsInteger="1" minValue="397" maxValue="6923"/>
    </cacheField>
    <cacheField name="gross_sales" numFmtId="0">
      <sharedItems containsSemiMixedTypes="0" containsString="0" containsNumber="1" containsInteger="1" minValue="652810" maxValue="7687810"/>
    </cacheField>
    <cacheField name="taxes" numFmtId="0">
      <sharedItems containsSemiMixedTypes="0" containsString="0" containsNumber="1" minValue="0" maxValue="1614440.1"/>
    </cacheField>
    <cacheField name="net_sales" numFmtId="0">
      <sharedItems containsSemiMixedTypes="0" containsString="0" containsNumber="1" minValue="515719.9" maxValue="6073369.9000000004"/>
    </cacheField>
    <cacheField name="returned_sales_value" numFmtId="0">
      <sharedItems containsSemiMixedTypes="0" containsString="0" containsNumber="1" minValue="72593.100000000006" maxValue="1085049.2"/>
    </cacheField>
    <cacheField name="realized_net_sales" numFmtId="0">
      <sharedItems containsSemiMixedTypes="0" containsString="0" containsNumber="1" minValue="443126.8" maxValue="4988320.7" count="4">
        <n v="4988320.7"/>
        <n v="1809690"/>
        <n v="1734595.1"/>
        <n v="443126.8"/>
      </sharedItems>
    </cacheField>
    <cacheField name="return_rate" numFmtId="0">
      <sharedItems containsSemiMixedTypes="0" containsString="0" containsNumber="1" minValue="4.1548927263212902E-2" maxValue="0.178962878709544"/>
    </cacheField>
    <cacheField name="net_sales_mix" numFmtId="0">
      <sharedItems containsSemiMixedTypes="0" containsString="0" containsNumber="1" minValue="4.9181218999999998E-2" maxValue="0.57918210199999998"/>
    </cacheField>
    <cacheField name="realized_sales_mix" numFmtId="0">
      <sharedItems containsSemiMixedTypes="0" containsString="0" containsNumber="1" minValue="4.9369429999999999E-2" maxValue="0.55575638500000002"/>
    </cacheField>
    <cacheField name="net_sales_per_unit" numFmtId="0">
      <sharedItems containsSemiMixedTypes="0" containsString="0" containsNumber="1" minValue="156.20018674100001" maxValue="197.75405546799999"/>
    </cacheField>
    <cacheField name="realized_net_sales_per_unit" numFmtId="0">
      <sharedItems containsSemiMixedTypes="0" containsString="0" containsNumber="1" minValue="128.95048857399999" maxValue="189.397174253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hongkai Dai" refreshedDate="46253.568244560185" createdVersion="8" refreshedVersion="8" minRefreshableVersion="3" recordCount="101" xr:uid="{273812ED-53CA-40C0-9949-6543C8836906}">
  <cacheSource type="worksheet">
    <worksheetSource ref="A1:H1048576" sheet="export 2A_excel"/>
  </cacheSource>
  <cacheFields count="11">
    <cacheField name="year_month" numFmtId="0">
      <sharedItems containsNonDate="0" containsDate="1" containsString="0" containsBlank="1" minDate="2024-05-01T00:00:00" maxDate="2026-05-02T00:00:00" count="26"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m/>
      </sharedItems>
      <fieldGroup par="10"/>
    </cacheField>
    <cacheField name="channel" numFmtId="0">
      <sharedItems containsBlank="1" count="5">
        <s v="marketplace"/>
        <s v="online"/>
        <s v="retail"/>
        <s v="wholesale"/>
        <m/>
      </sharedItems>
    </cacheField>
    <cacheField name="units_sold" numFmtId="0">
      <sharedItems containsString="0" containsBlank="1" containsNumber="1" containsInteger="1" minValue="3" maxValue="2475"/>
    </cacheField>
    <cacheField name="units_returned" numFmtId="0">
      <sharedItems containsString="0" containsBlank="1" containsNumber="1" containsInteger="1" minValue="1" maxValue="445"/>
    </cacheField>
    <cacheField name="net_sales_at_sale" numFmtId="0">
      <sharedItems containsString="0" containsBlank="1" containsNumber="1" minValue="387.1" maxValue="396264"/>
    </cacheField>
    <cacheField name="returned_sales_value" numFmtId="0">
      <sharedItems containsString="0" containsBlank="1" containsNumber="1" minValue="150" maxValue="71629.3"/>
    </cacheField>
    <cacheField name="realized_net_sales" numFmtId="0">
      <sharedItems containsString="0" containsBlank="1" containsNumber="1" minValue="0" maxValue="324634.7"/>
    </cacheField>
    <cacheField name="return_rate" numFmtId="0">
      <sharedItems containsString="0" containsBlank="1" containsNumber="1" minValue="1.9073569482288801E-2" maxValue="1"/>
    </cacheField>
    <cacheField name="Meses (year_month)" numFmtId="0" databaseField="0">
      <fieldGroup base="0">
        <rangePr groupBy="months" startDate="2024-05-01T00:00:00" endDate="2026-05-02T00:00:00"/>
        <groupItems count="14">
          <s v="&lt;01/05/2024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2/05/2026"/>
        </groupItems>
      </fieldGroup>
    </cacheField>
    <cacheField name="Trimestres (year_month)" numFmtId="0" databaseField="0">
      <fieldGroup base="0">
        <rangePr groupBy="quarters" startDate="2024-05-01T00:00:00" endDate="2026-05-02T00:00:00"/>
        <groupItems count="6">
          <s v="&lt;01/05/2024"/>
          <s v="Trim.1"/>
          <s v="Trim.2"/>
          <s v="Trim.3"/>
          <s v="Trim.4"/>
          <s v="&gt;02/05/2026"/>
        </groupItems>
      </fieldGroup>
    </cacheField>
    <cacheField name="Años (year_month)" numFmtId="0" databaseField="0">
      <fieldGroup base="0">
        <rangePr groupBy="years" startDate="2024-05-01T00:00:00" endDate="2026-05-02T00:00:00"/>
        <groupItems count="5">
          <s v="&lt;01/05/2024"/>
          <s v="2024"/>
          <s v="2025"/>
          <s v="2026"/>
          <s v="&gt;02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hongkai Dai" refreshedDate="46254.687875000003" createdVersion="8" refreshedVersion="8" minRefreshableVersion="3" recordCount="4" xr:uid="{CEED45F3-10D5-45F5-9E4F-5AC6D6E2111F}">
  <cacheSource type="worksheet">
    <worksheetSource name="export_3A_excel"/>
  </cacheSource>
  <cacheFields count="8">
    <cacheField name="channel" numFmtId="0">
      <sharedItems count="4">
        <s v="wholesale"/>
        <s v="marketplace"/>
        <s v="retail"/>
        <s v="online"/>
      </sharedItems>
    </cacheField>
    <cacheField name="net_sales" numFmtId="0">
      <sharedItems containsSemiMixedTypes="0" containsString="0" containsNumber="1" minValue="504636.2" maxValue="5920117.7999999998"/>
    </cacheField>
    <cacheField name="realized_net_sales" numFmtId="0">
      <sharedItems containsSemiMixedTypes="0" containsString="0" containsNumber="1" minValue="432856.8" maxValue="4865072.8"/>
    </cacheField>
    <cacheField name="product_cogs" numFmtId="0">
      <sharedItems containsSemiMixedTypes="0" containsString="0" containsNumber="1" minValue="233296.51" maxValue="2616606.77"/>
    </cacheField>
    <cacheField name="shipping_cost" numFmtId="0">
      <sharedItems containsSemiMixedTypes="0" containsString="0" containsNumber="1" minValue="21104.36" maxValue="249881.24"/>
    </cacheField>
    <cacheField name="estimated_return_cost" numFmtId="0">
      <sharedItems containsSemiMixedTypes="0" containsString="0" containsNumber="1" minValue="2811.14" maxValue="49662.7"/>
    </cacheField>
    <cacheField name="contribution_margin" numFmtId="0">
      <sharedItems containsSemiMixedTypes="0" containsString="0" containsNumber="1" minValue="175211.96" maxValue="1948922.09"/>
    </cacheField>
    <cacheField name="contribution_margin_pct" numFmtId="0">
      <sharedItems containsSemiMixedTypes="0" containsString="0" containsNumber="1" minValue="0.40059464099999997" maxValue="0.537178599999999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hongkai Dai" refreshedDate="46254.691398379633" createdVersion="8" refreshedVersion="8" minRefreshableVersion="3" recordCount="9" xr:uid="{C8C04F9F-75FE-4629-B29F-A53DAC6E3D12}">
  <cacheSource type="worksheet">
    <worksheetSource ref="A1:H1048576" sheet="export 3B_excel"/>
  </cacheSource>
  <cacheFields count="8">
    <cacheField name="category" numFmtId="0">
      <sharedItems containsBlank="1" count="9">
        <s v="Outerwear"/>
        <s v="Shoes"/>
        <s v="Dresses"/>
        <s v="Bags"/>
        <s v="Bottoms"/>
        <s v="Swimwear"/>
        <s v="Tops"/>
        <s v="Accessories"/>
        <m/>
      </sharedItems>
    </cacheField>
    <cacheField name="net_sales" numFmtId="0">
      <sharedItems containsString="0" containsBlank="1" containsNumber="1" minValue="358320.6" maxValue="3021173.2"/>
    </cacheField>
    <cacheField name="realized_net_sales" numFmtId="0">
      <sharedItems containsString="0" containsBlank="1" containsNumber="1" minValue="305573.90000000002" maxValue="2584272"/>
    </cacheField>
    <cacheField name="product_cogs" numFmtId="0">
      <sharedItems containsString="0" containsBlank="1" containsNumber="1" minValue="155779.31" maxValue="1321340.42"/>
    </cacheField>
    <cacheField name="shipping_cost" numFmtId="0">
      <sharedItems containsString="0" containsBlank="1" containsNumber="1" minValue="39278.29" maxValue="74798.990000000005"/>
    </cacheField>
    <cacheField name="estimated_return_cost" numFmtId="0">
      <sharedItems containsString="0" containsBlank="1" containsNumber="1" minValue="6686.19" maxValue="12446.15"/>
    </cacheField>
    <cacheField name="contribution_margin" numFmtId="0">
      <sharedItems containsString="0" containsBlank="1" containsNumber="1" minValue="97121.59" maxValue="1193140.24"/>
    </cacheField>
    <cacheField name="contribution_margin_pct" numFmtId="0">
      <sharedItems containsString="0" containsBlank="1" containsNumber="1" minValue="0.31783339500000002" maxValue="0.4616929799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hongkai Dai" refreshedDate="46254.694157754631" createdVersion="8" refreshedVersion="8" minRefreshableVersion="3" recordCount="5" xr:uid="{6B1176DC-9795-4BA7-8478-0272F9A9DDF3}">
  <cacheSource type="worksheet">
    <worksheetSource ref="A1:H1048576" sheet="export 3A_excel"/>
  </cacheSource>
  <cacheFields count="8">
    <cacheField name="channel" numFmtId="0">
      <sharedItems containsBlank="1" count="5">
        <s v="wholesale"/>
        <s v="marketplace"/>
        <s v="retail"/>
        <s v="online"/>
        <m/>
      </sharedItems>
    </cacheField>
    <cacheField name="net_sales" numFmtId="0">
      <sharedItems containsString="0" containsBlank="1" containsNumber="1" minValue="504636.2" maxValue="5920117.7999999998"/>
    </cacheField>
    <cacheField name="realized_net_sales" numFmtId="0">
      <sharedItems containsString="0" containsBlank="1" containsNumber="1" minValue="432856.8" maxValue="4865072.8"/>
    </cacheField>
    <cacheField name="product_cogs" numFmtId="0">
      <sharedItems containsString="0" containsBlank="1" containsNumber="1" minValue="233296.51" maxValue="2616606.77"/>
    </cacheField>
    <cacheField name="shipping_cost" numFmtId="0">
      <sharedItems containsString="0" containsBlank="1" containsNumber="1" minValue="21104.36" maxValue="249881.24"/>
    </cacheField>
    <cacheField name="estimated_return_cost" numFmtId="0">
      <sharedItems containsString="0" containsBlank="1" containsNumber="1" minValue="2811.14" maxValue="49662.7"/>
    </cacheField>
    <cacheField name="contribution_margin" numFmtId="0">
      <sharedItems containsString="0" containsBlank="1" containsNumber="1" minValue="175211.96" maxValue="1948922.09"/>
    </cacheField>
    <cacheField name="contribution_margin_pct" numFmtId="0">
      <sharedItems containsString="0" containsBlank="1" containsNumber="1" minValue="0.40059464099999997" maxValue="0.537178599999999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hongkai Dai" refreshedDate="46254.742663425925" createdVersion="8" refreshedVersion="8" minRefreshableVersion="3" recordCount="200" xr:uid="{D96D11E7-3F68-4CFA-BB5D-5B1E213E0E1F}">
  <cacheSource type="worksheet">
    <worksheetSource name="export_3C_excel"/>
  </cacheSource>
  <cacheFields count="13">
    <cacheField name="sku" numFmtId="0">
      <sharedItems count="200">
        <s v="SKU-05815"/>
        <s v="SKU-01829"/>
        <s v="SKU-06130"/>
        <s v="SKU-02061"/>
        <s v="SKU-05413"/>
        <s v="SKU-05164"/>
        <s v="SKU-01563"/>
        <s v="SKU-09596"/>
        <s v="SKU-03880"/>
        <s v="SKU-04249"/>
        <s v="SKU-07051"/>
        <s v="SKU-05407"/>
        <s v="SKU-08987"/>
        <s v="SKU-08633"/>
        <s v="SKU-02460"/>
        <s v="SKU-04221"/>
        <s v="SKU-01332"/>
        <s v="SKU-01310"/>
        <s v="SKU-06070"/>
        <s v="SKU-04667"/>
        <s v="SKU-07194"/>
        <s v="SKU-05951"/>
        <s v="SKU-02774"/>
        <s v="SKU-06667"/>
        <s v="SKU-04888"/>
        <s v="SKU-05200"/>
        <s v="SKU-02021"/>
        <s v="SKU-06011"/>
        <s v="SKU-01203"/>
        <s v="SKU-07436"/>
        <s v="SKU-09214"/>
        <s v="SKU-08559"/>
        <s v="SKU-08022"/>
        <s v="SKU-08404"/>
        <s v="SKU-01387"/>
        <s v="SKU-05524"/>
        <s v="SKU-07282"/>
        <s v="SKU-08095"/>
        <s v="SKU-04284"/>
        <s v="SKU-06583"/>
        <s v="SKU-09575"/>
        <s v="SKU-04942"/>
        <s v="SKU-04914"/>
        <s v="SKU-07824"/>
        <s v="SKU-06921"/>
        <s v="SKU-04746"/>
        <s v="SKU-03628"/>
        <s v="SKU-04105"/>
        <s v="SKU-01807"/>
        <s v="SKU-01677"/>
        <s v="SKU-04642"/>
        <s v="SKU-06594"/>
        <s v="SKU-04551"/>
        <s v="SKU-01756"/>
        <s v="SKU-05840"/>
        <s v="SKU-06838"/>
        <s v="SKU-03518"/>
        <s v="SKU-09585"/>
        <s v="SKU-05995"/>
        <s v="SKU-08262"/>
        <s v="SKU-01863"/>
        <s v="SKU-04641"/>
        <s v="SKU-01521"/>
        <s v="SKU-04081"/>
        <s v="SKU-03446"/>
        <s v="SKU-03472"/>
        <s v="SKU-01275"/>
        <s v="SKU-03131"/>
        <s v="SKU-05107"/>
        <s v="SKU-04863"/>
        <s v="SKU-02779"/>
        <s v="SKU-08901"/>
        <s v="SKU-05498"/>
        <s v="SKU-09925"/>
        <s v="SKU-07887"/>
        <s v="SKU-09173"/>
        <s v="SKU-09423"/>
        <s v="SKU-09631"/>
        <s v="SKU-07949"/>
        <s v="SKU-02246"/>
        <s v="SKU-05898"/>
        <s v="SKU-01706"/>
        <s v="SKU-06459"/>
        <s v="SKU-07725"/>
        <s v="SKU-08484"/>
        <s v="SKU-05203"/>
        <s v="SKU-07957"/>
        <s v="SKU-07599"/>
        <s v="SKU-07146"/>
        <s v="SKU-09656"/>
        <s v="SKU-03776"/>
        <s v="SKU-01785"/>
        <s v="SKU-02152"/>
        <s v="SKU-09085"/>
        <s v="SKU-01600"/>
        <s v="SKU-02367"/>
        <s v="SKU-08658"/>
        <s v="SKU-02129"/>
        <s v="SKU-06927"/>
        <s v="SKU-05638"/>
        <s v="SKU-09176"/>
        <s v="SKU-04270"/>
        <s v="SKU-02366"/>
        <s v="SKU-02427"/>
        <s v="SKU-05145"/>
        <s v="SKU-07483"/>
        <s v="SKU-04882"/>
        <s v="SKU-09349"/>
        <s v="SKU-07481"/>
        <s v="SKU-01788"/>
        <s v="SKU-07929"/>
        <s v="SKU-05131"/>
        <s v="SKU-02493"/>
        <s v="SKU-04424"/>
        <s v="SKU-04135"/>
        <s v="SKU-06761"/>
        <s v="SKU-08007"/>
        <s v="SKU-03715"/>
        <s v="SKU-07252"/>
        <s v="SKU-06682"/>
        <s v="SKU-03710"/>
        <s v="SKU-08352"/>
        <s v="SKU-05452"/>
        <s v="SKU-08843"/>
        <s v="SKU-03189"/>
        <s v="SKU-06048"/>
        <s v="SKU-08155"/>
        <s v="SKU-04903"/>
        <s v="SKU-04977"/>
        <s v="SKU-04253"/>
        <s v="SKU-05989"/>
        <s v="SKU-01813"/>
        <s v="SKU-08396"/>
        <s v="SKU-08630"/>
        <s v="SKU-08313"/>
        <s v="SKU-01808"/>
        <s v="SKU-06666"/>
        <s v="SKU-07896"/>
        <s v="SKU-08397"/>
        <s v="SKU-06952"/>
        <s v="SKU-02610"/>
        <s v="SKU-01952"/>
        <s v="SKU-09028"/>
        <s v="SKU-07584"/>
        <s v="SKU-08101"/>
        <s v="SKU-04869"/>
        <s v="SKU-04445"/>
        <s v="SKU-07922"/>
        <s v="SKU-07091"/>
        <s v="SKU-06998"/>
        <s v="SKU-05506"/>
        <s v="SKU-06386"/>
        <s v="SKU-08411"/>
        <s v="SKU-08057"/>
        <s v="SKU-07811"/>
        <s v="SKU-08583"/>
        <s v="SKU-02243"/>
        <s v="SKU-03888"/>
        <s v="SKU-04971"/>
        <s v="SKU-05008"/>
        <s v="SKU-08297"/>
        <s v="SKU-06947"/>
        <s v="SKU-08165"/>
        <s v="SKU-07702"/>
        <s v="SKU-07072"/>
        <s v="SKU-03006"/>
        <s v="SKU-06962"/>
        <s v="SKU-06665"/>
        <s v="SKU-04653"/>
        <s v="SKU-03997"/>
        <s v="SKU-02918"/>
        <s v="SKU-03564"/>
        <s v="SKU-04921"/>
        <s v="SKU-01065"/>
        <s v="SKU-07255"/>
        <s v="SKU-04812"/>
        <s v="SKU-02497"/>
        <s v="SKU-09878"/>
        <s v="SKU-06044"/>
        <s v="SKU-05467"/>
        <s v="SKU-03093"/>
        <s v="SKU-03930"/>
        <s v="SKU-05221"/>
        <s v="SKU-02447"/>
        <s v="SKU-07707"/>
        <s v="SKU-07323"/>
        <s v="SKU-02722"/>
        <s v="SKU-02130"/>
        <s v="SKU-07141"/>
        <s v="SKU-05523"/>
        <s v="SKU-02680"/>
        <s v="SKU-07829"/>
        <s v="SKU-03469"/>
        <s v="SKU-04049"/>
        <s v="SKU-03014"/>
        <s v="SKU-03146"/>
        <s v="SKU-05090"/>
        <s v="SKU-07221"/>
        <s v="SKU-09785"/>
        <s v="SKU-05944"/>
      </sharedItems>
    </cacheField>
    <cacheField name="name" numFmtId="0">
      <sharedItems/>
    </cacheField>
    <cacheField name="category" numFmtId="0">
      <sharedItems/>
    </cacheField>
    <cacheField name="net_sales" numFmtId="0">
      <sharedItems containsSemiMixedTypes="0" containsString="0" containsNumber="1" minValue="7602" maxValue="157877.5"/>
    </cacheField>
    <cacheField name="realized_net_sales" numFmtId="0">
      <sharedItems containsSemiMixedTypes="0" containsString="0" containsNumber="1" minValue="6383.7" maxValue="135921.5"/>
    </cacheField>
    <cacheField name="product_cogs" numFmtId="0">
      <sharedItems containsSemiMixedTypes="0" containsString="0" containsNumber="1" minValue="2633.4" maxValue="73772.27"/>
    </cacheField>
    <cacheField name="shipping_cost" numFmtId="0">
      <sharedItems containsSemiMixedTypes="0" containsString="0" containsNumber="1" minValue="1636.85" maxValue="2514.5500000000002"/>
    </cacheField>
    <cacheField name="estimated_return_cost" numFmtId="0">
      <sharedItems containsSemiMixedTypes="0" containsString="0" containsNumber="1" minValue="180.81" maxValue="507.93"/>
    </cacheField>
    <cacheField name="contribution_margin" numFmtId="0">
      <sharedItems containsSemiMixedTypes="0" containsString="0" containsNumber="1" minValue="-189.28" maxValue="69868.070000000007"/>
    </cacheField>
    <cacheField name="contribution_margin_pct" numFmtId="0">
      <sharedItems containsSemiMixedTypes="0" containsString="0" containsNumber="1" minValue="-2.8164152000000001E-2" maxValue="0.580671453"/>
    </cacheField>
    <cacheField name="units_sold" numFmtId="0">
      <sharedItems containsSemiMixedTypes="0" containsString="0" containsNumber="1" containsInteger="1" minValue="264" maxValue="378"/>
    </cacheField>
    <cacheField name="units_returned" numFmtId="0">
      <sharedItems containsSemiMixedTypes="0" containsString="0" containsNumber="1" containsInteger="1" minValue="23" maxValue="68"/>
    </cacheField>
    <cacheField name="return_rate" numFmtId="0">
      <sharedItems containsSemiMixedTypes="0" containsString="0" containsNumber="1" minValue="7.903780068728522E-2" maxValue="0.208588957055214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x v="0"/>
    <n v="3"/>
    <n v="3"/>
    <n v="490"/>
    <n v="102.9"/>
    <n v="387.1"/>
    <n v="387.1"/>
    <n v="0"/>
    <n v="1"/>
    <n v="129.033333333"/>
    <n v="0"/>
  </r>
  <r>
    <x v="0"/>
    <x v="1"/>
    <n v="139"/>
    <n v="25"/>
    <n v="26290"/>
    <n v="5520.9"/>
    <n v="20769.099999999999"/>
    <n v="4068.5"/>
    <n v="16700.599999999999"/>
    <n v="0.17985611510791361"/>
    <n v="149.417985612"/>
    <n v="120.148201439"/>
  </r>
  <r>
    <x v="0"/>
    <x v="2"/>
    <n v="41"/>
    <n v="8"/>
    <n v="9500"/>
    <n v="1995"/>
    <n v="7505"/>
    <n v="1516.8"/>
    <n v="5988.2"/>
    <n v="0.1951219512195122"/>
    <n v="183.04878048800001"/>
    <n v="146.05365853699999"/>
  </r>
  <r>
    <x v="0"/>
    <x v="3"/>
    <n v="44"/>
    <n v="1"/>
    <n v="9500"/>
    <n v="0"/>
    <n v="9500"/>
    <n v="150"/>
    <n v="9350"/>
    <n v="2.27272727272727E-2"/>
    <n v="215.90909090900001"/>
    <n v="212.5"/>
  </r>
  <r>
    <x v="1"/>
    <x v="0"/>
    <n v="98"/>
    <n v="9"/>
    <n v="18570"/>
    <n v="3899.7"/>
    <n v="14670.3"/>
    <n v="1287.7"/>
    <n v="13382.6"/>
    <n v="9.18367346938775E-2"/>
    <n v="149.696938776"/>
    <n v="136.557142857"/>
  </r>
  <r>
    <x v="1"/>
    <x v="1"/>
    <n v="1416"/>
    <n v="259"/>
    <n v="271720"/>
    <n v="57061.2"/>
    <n v="214658.8"/>
    <n v="41103.699999999997"/>
    <n v="173555.1"/>
    <n v="0.18290960451977401"/>
    <n v="151.59519774"/>
    <n v="122.567161017"/>
  </r>
  <r>
    <x v="1"/>
    <x v="2"/>
    <n v="498"/>
    <n v="64"/>
    <n v="102860"/>
    <n v="21600.6"/>
    <n v="81259.399999999994"/>
    <n v="12877"/>
    <n v="68382.399999999994"/>
    <n v="0.1285140562248995"/>
    <n v="163.17148594400001"/>
    <n v="137.314056225"/>
  </r>
  <r>
    <x v="1"/>
    <x v="3"/>
    <n v="349"/>
    <n v="8"/>
    <n v="69000"/>
    <n v="0"/>
    <n v="69000"/>
    <n v="1630"/>
    <n v="67370"/>
    <n v="2.2922636103151799E-2"/>
    <n v="197.70773639000001"/>
    <n v="193.03724928400001"/>
  </r>
  <r>
    <x v="2"/>
    <x v="0"/>
    <n v="109"/>
    <n v="16"/>
    <n v="24770"/>
    <n v="5201.7"/>
    <n v="19568.3"/>
    <n v="2678.1"/>
    <n v="16890.2"/>
    <n v="0.146788990825688"/>
    <n v="179.525688073"/>
    <n v="154.955963303"/>
  </r>
  <r>
    <x v="2"/>
    <x v="1"/>
    <n v="1394"/>
    <n v="239"/>
    <n v="279240"/>
    <n v="58640.4"/>
    <n v="220599.6"/>
    <n v="36371.599999999999"/>
    <n v="184228"/>
    <n v="0.1714490674318507"/>
    <n v="158.24935437600001"/>
    <n v="132.157819225"/>
  </r>
  <r>
    <x v="2"/>
    <x v="2"/>
    <n v="391"/>
    <n v="60"/>
    <n v="79970"/>
    <n v="16793.7"/>
    <n v="63176.3"/>
    <n v="9179.7999999999993"/>
    <n v="53996.5"/>
    <n v="0.15345268542199481"/>
    <n v="161.57621483400001"/>
    <n v="138.098465473"/>
  </r>
  <r>
    <x v="2"/>
    <x v="3"/>
    <n v="318"/>
    <n v="12"/>
    <n v="63530"/>
    <n v="0"/>
    <n v="63530"/>
    <n v="2870"/>
    <n v="60660"/>
    <n v="3.7735849056603703E-2"/>
    <n v="199.77987421399999"/>
    <n v="190.754716981"/>
  </r>
  <r>
    <x v="3"/>
    <x v="0"/>
    <n v="118"/>
    <n v="16"/>
    <n v="24390"/>
    <n v="5121.8999999999996"/>
    <n v="19268.099999999999"/>
    <n v="3160"/>
    <n v="16108.1"/>
    <n v="0.13559322033898299"/>
    <n v="163.288983051"/>
    <n v="136.50932203400001"/>
  </r>
  <r>
    <x v="3"/>
    <x v="1"/>
    <n v="1349"/>
    <n v="253"/>
    <n v="268650"/>
    <n v="56416.5"/>
    <n v="212233.5"/>
    <n v="39302.5"/>
    <n v="172931"/>
    <n v="0.18754633061527051"/>
    <n v="157.32653817600001"/>
    <n v="128.19199406999999"/>
  </r>
  <r>
    <x v="3"/>
    <x v="2"/>
    <n v="391"/>
    <n v="54"/>
    <n v="76650"/>
    <n v="16096.5"/>
    <n v="60553.5"/>
    <n v="7694.6"/>
    <n v="52858.9"/>
    <n v="0.1381074168797953"/>
    <n v="154.868286445"/>
    <n v="135.189002558"/>
  </r>
  <r>
    <x v="3"/>
    <x v="3"/>
    <n v="354"/>
    <n v="18"/>
    <n v="69420"/>
    <n v="0"/>
    <n v="69420"/>
    <n v="3940"/>
    <n v="65480"/>
    <n v="5.0847457627118599E-2"/>
    <n v="196.101694915"/>
    <n v="184.971751412"/>
  </r>
  <r>
    <x v="4"/>
    <x v="0"/>
    <n v="108"/>
    <n v="15"/>
    <n v="17330"/>
    <n v="3639.3"/>
    <n v="13690.7"/>
    <n v="2038.2"/>
    <n v="11652.5"/>
    <n v="0.1388888888888889"/>
    <n v="126.765740741"/>
    <n v="107.893518519"/>
  </r>
  <r>
    <x v="4"/>
    <x v="1"/>
    <n v="1320"/>
    <n v="239"/>
    <n v="262080"/>
    <n v="55036.800000000003"/>
    <n v="207043.20000000001"/>
    <n v="39120.800000000003"/>
    <n v="167922.4"/>
    <n v="0.18106060606060601"/>
    <n v="156.85090909100001"/>
    <n v="127.21393939399999"/>
  </r>
  <r>
    <x v="4"/>
    <x v="2"/>
    <n v="444"/>
    <n v="62"/>
    <n v="90930"/>
    <n v="19095.3"/>
    <n v="71834.7"/>
    <n v="10088.299999999999"/>
    <n v="61746.400000000001"/>
    <n v="0.1396396396396396"/>
    <n v="161.789864865"/>
    <n v="139.06846846799999"/>
  </r>
  <r>
    <x v="4"/>
    <x v="3"/>
    <n v="338"/>
    <n v="7"/>
    <n v="64300"/>
    <n v="0"/>
    <n v="64300"/>
    <n v="1260"/>
    <n v="63040"/>
    <n v="2.07100591715976E-2"/>
    <n v="190.23668639100001"/>
    <n v="186.50887574000001"/>
  </r>
  <r>
    <x v="5"/>
    <x v="0"/>
    <n v="127"/>
    <n v="20"/>
    <n v="22490"/>
    <n v="4722.8999999999996"/>
    <n v="17767.099999999999"/>
    <n v="2891.4"/>
    <n v="14875.7"/>
    <n v="0.15748031496062989"/>
    <n v="139.89842519699999"/>
    <n v="117.131496063"/>
  </r>
  <r>
    <x v="5"/>
    <x v="1"/>
    <n v="1484"/>
    <n v="291"/>
    <n v="290310"/>
    <n v="60965.1"/>
    <n v="229344.9"/>
    <n v="46997.1"/>
    <n v="182347.8"/>
    <n v="0.1960916442048517"/>
    <n v="154.54508086300001"/>
    <n v="122.875876011"/>
  </r>
  <r>
    <x v="5"/>
    <x v="2"/>
    <n v="530"/>
    <n v="77"/>
    <n v="97850"/>
    <n v="20548.5"/>
    <n v="77301.5"/>
    <n v="10641.3"/>
    <n v="66660.2"/>
    <n v="0.1452830188679245"/>
    <n v="145.85188679199999"/>
    <n v="125.77396226400001"/>
  </r>
  <r>
    <x v="5"/>
    <x v="3"/>
    <n v="390"/>
    <n v="15"/>
    <n v="83230"/>
    <n v="0"/>
    <n v="83230"/>
    <n v="3670"/>
    <n v="79560"/>
    <n v="3.8461538461538401E-2"/>
    <n v="213.41025640999999"/>
    <n v="204"/>
  </r>
  <r>
    <x v="6"/>
    <x v="0"/>
    <n v="171"/>
    <n v="30"/>
    <n v="39470"/>
    <n v="8288.7000000000007"/>
    <n v="31181.3"/>
    <n v="5079.7"/>
    <n v="26101.599999999999"/>
    <n v="0.175438596491228"/>
    <n v="182.34678362599999"/>
    <n v="152.640935673"/>
  </r>
  <r>
    <x v="6"/>
    <x v="1"/>
    <n v="1818"/>
    <n v="293"/>
    <n v="363900"/>
    <n v="76419"/>
    <n v="287481"/>
    <n v="46436.2"/>
    <n v="241044.8"/>
    <n v="0.16116611661166111"/>
    <n v="158.13036303600001"/>
    <n v="132.58789879"/>
  </r>
  <r>
    <x v="6"/>
    <x v="2"/>
    <n v="620"/>
    <n v="81"/>
    <n v="120520"/>
    <n v="25309.200000000001"/>
    <n v="95210.8"/>
    <n v="13588"/>
    <n v="81622.8"/>
    <n v="0.1306451612903225"/>
    <n v="153.565806452"/>
    <n v="131.649677419"/>
  </r>
  <r>
    <x v="6"/>
    <x v="3"/>
    <n v="439"/>
    <n v="18"/>
    <n v="88230"/>
    <n v="0"/>
    <n v="88230"/>
    <n v="3150"/>
    <n v="85080"/>
    <n v="4.1002277904327998E-2"/>
    <n v="200.979498861"/>
    <n v="193.80410022800001"/>
  </r>
  <r>
    <x v="7"/>
    <x v="0"/>
    <n v="181"/>
    <n v="33"/>
    <n v="36360"/>
    <n v="7635.6"/>
    <n v="28724.400000000001"/>
    <n v="5135"/>
    <n v="23589.4"/>
    <n v="0.1823204419889502"/>
    <n v="158.69834254099999"/>
    <n v="130.32817679600001"/>
  </r>
  <r>
    <x v="7"/>
    <x v="1"/>
    <n v="1997"/>
    <n v="342"/>
    <n v="391970"/>
    <n v="82313.7"/>
    <n v="309656.3"/>
    <n v="54265.1"/>
    <n v="255391.2"/>
    <n v="0.17125688532799199"/>
    <n v="155.06074111199999"/>
    <n v="127.887431147"/>
  </r>
  <r>
    <x v="7"/>
    <x v="2"/>
    <n v="737"/>
    <n v="65"/>
    <n v="142850"/>
    <n v="29998.5"/>
    <n v="112851.5"/>
    <n v="9638"/>
    <n v="103213.5"/>
    <n v="8.8195386702849293E-2"/>
    <n v="153.122795115"/>
    <n v="140.04545454500001"/>
  </r>
  <r>
    <x v="7"/>
    <x v="3"/>
    <n v="517"/>
    <n v="24"/>
    <n v="99340"/>
    <n v="0"/>
    <n v="99340"/>
    <n v="5290"/>
    <n v="94050"/>
    <n v="4.6421663442939999E-2"/>
    <n v="192.147001934"/>
    <n v="181.91489361699999"/>
  </r>
  <r>
    <x v="8"/>
    <x v="0"/>
    <n v="96"/>
    <n v="10"/>
    <n v="17520"/>
    <n v="3679.2"/>
    <n v="13840.8"/>
    <n v="1279.8"/>
    <n v="12561"/>
    <n v="0.1041666666666666"/>
    <n v="144.17500000000001"/>
    <n v="130.84375"/>
  </r>
  <r>
    <x v="8"/>
    <x v="1"/>
    <n v="1179"/>
    <n v="217"/>
    <n v="235470"/>
    <n v="49448.7"/>
    <n v="186021.3"/>
    <n v="35320.9"/>
    <n v="150700.4"/>
    <n v="0.18405428329092449"/>
    <n v="157.778880407"/>
    <n v="127.82052586899999"/>
  </r>
  <r>
    <x v="8"/>
    <x v="2"/>
    <n v="427"/>
    <n v="49"/>
    <n v="81300"/>
    <n v="17073"/>
    <n v="64227"/>
    <n v="7031"/>
    <n v="57196"/>
    <n v="0.1147540983606557"/>
    <n v="150.41451990600001"/>
    <n v="133.948477752"/>
  </r>
  <r>
    <x v="8"/>
    <x v="3"/>
    <n v="314"/>
    <n v="21"/>
    <n v="61810"/>
    <n v="0"/>
    <n v="61810"/>
    <n v="4480"/>
    <n v="57330"/>
    <n v="6.6878980891719703E-2"/>
    <n v="196.84713375800001"/>
    <n v="182.579617834"/>
  </r>
  <r>
    <x v="9"/>
    <x v="0"/>
    <n v="98"/>
    <n v="15"/>
    <n v="19790"/>
    <n v="4155.8999999999996"/>
    <n v="15634.1"/>
    <n v="2196.1999999999998"/>
    <n v="13437.9"/>
    <n v="0.15306122448979589"/>
    <n v="159.531632653"/>
    <n v="137.121428571"/>
  </r>
  <r>
    <x v="9"/>
    <x v="1"/>
    <n v="1034"/>
    <n v="194"/>
    <n v="213400"/>
    <n v="44814"/>
    <n v="168586"/>
    <n v="29941"/>
    <n v="138645"/>
    <n v="0.18762088974854929"/>
    <n v="163.042553191"/>
    <n v="134.08607350099999"/>
  </r>
  <r>
    <x v="9"/>
    <x v="2"/>
    <n v="331"/>
    <n v="28"/>
    <n v="65690"/>
    <n v="13794.9"/>
    <n v="51895.1"/>
    <n v="4819"/>
    <n v="47076.1"/>
    <n v="8.4592145015105702E-2"/>
    <n v="156.78277945599999"/>
    <n v="142.22386706899999"/>
  </r>
  <r>
    <x v="9"/>
    <x v="3"/>
    <n v="256"/>
    <n v="15"/>
    <n v="50380"/>
    <n v="0"/>
    <n v="50380"/>
    <n v="3180"/>
    <n v="47200"/>
    <n v="5.859375E-2"/>
    <n v="196.796875"/>
    <n v="184.375"/>
  </r>
  <r>
    <x v="10"/>
    <x v="0"/>
    <n v="103"/>
    <n v="11"/>
    <n v="19180"/>
    <n v="4027.8"/>
    <n v="15152.2"/>
    <n v="1303.5"/>
    <n v="13848.7"/>
    <n v="0.10679611650485429"/>
    <n v="147.10873786400001"/>
    <n v="134.453398058"/>
  </r>
  <r>
    <x v="10"/>
    <x v="1"/>
    <n v="1412"/>
    <n v="252"/>
    <n v="276560"/>
    <n v="58077.599999999999"/>
    <n v="218482.4"/>
    <n v="40361.1"/>
    <n v="178121.3"/>
    <n v="0.17847025495750701"/>
    <n v="154.73257790400001"/>
    <n v="126.148229462"/>
  </r>
  <r>
    <x v="10"/>
    <x v="2"/>
    <n v="488"/>
    <n v="61"/>
    <n v="99400"/>
    <n v="20874"/>
    <n v="78526"/>
    <n v="11470.8"/>
    <n v="67055.199999999997"/>
    <n v="0.125"/>
    <n v="160.913934426"/>
    <n v="137.408196721"/>
  </r>
  <r>
    <x v="10"/>
    <x v="3"/>
    <n v="364"/>
    <n v="18"/>
    <n v="71610"/>
    <n v="0"/>
    <n v="71610"/>
    <n v="4520"/>
    <n v="67090"/>
    <n v="4.94505494505494E-2"/>
    <n v="196.73076923100001"/>
    <n v="184.31318681299999"/>
  </r>
  <r>
    <x v="11"/>
    <x v="0"/>
    <n v="148"/>
    <n v="19"/>
    <n v="25640"/>
    <n v="5384.4"/>
    <n v="20255.599999999999"/>
    <n v="3041.5"/>
    <n v="17214.099999999999"/>
    <n v="0.12837837837837829"/>
    <n v="136.862162162"/>
    <n v="116.31148648600001"/>
  </r>
  <r>
    <x v="11"/>
    <x v="1"/>
    <n v="1500"/>
    <n v="286"/>
    <n v="291040"/>
    <n v="61118.400000000001"/>
    <n v="229921.6"/>
    <n v="42636.3"/>
    <n v="187285.3"/>
    <n v="0.1906666666666666"/>
    <n v="153.281066667"/>
    <n v="124.85686666700001"/>
  </r>
  <r>
    <x v="11"/>
    <x v="2"/>
    <n v="484"/>
    <n v="76"/>
    <n v="93720"/>
    <n v="19681.2"/>
    <n v="74038.8"/>
    <n v="11778.9"/>
    <n v="62259.9"/>
    <n v="0.1570247933884297"/>
    <n v="152.972727273"/>
    <n v="128.63615702499999"/>
  </r>
  <r>
    <x v="11"/>
    <x v="3"/>
    <n v="374"/>
    <n v="17"/>
    <n v="70780"/>
    <n v="0"/>
    <n v="70780"/>
    <n v="4150"/>
    <n v="66630"/>
    <n v="4.54545454545454E-2"/>
    <n v="189.25133689800001"/>
    <n v="178.15508021400001"/>
  </r>
  <r>
    <x v="12"/>
    <x v="0"/>
    <n v="161"/>
    <n v="26"/>
    <n v="31440"/>
    <n v="6602.4"/>
    <n v="24837.599999999999"/>
    <n v="3673.5"/>
    <n v="21164.1"/>
    <n v="0.16149068322981361"/>
    <n v="154.270807453"/>
    <n v="131.45403726699999"/>
  </r>
  <r>
    <x v="12"/>
    <x v="1"/>
    <n v="1623"/>
    <n v="270"/>
    <n v="317900"/>
    <n v="66759"/>
    <n v="251141"/>
    <n v="44769.3"/>
    <n v="206371.7"/>
    <n v="0.166358595194085"/>
    <n v="154.73875539100001"/>
    <n v="127.154467036"/>
  </r>
  <r>
    <x v="12"/>
    <x v="2"/>
    <n v="514"/>
    <n v="69"/>
    <n v="95750"/>
    <n v="20107.5"/>
    <n v="75642.5"/>
    <n v="10206.799999999999"/>
    <n v="65435.7"/>
    <n v="0.13424124513618671"/>
    <n v="147.16439688700001"/>
    <n v="127.306809339"/>
  </r>
  <r>
    <x v="12"/>
    <x v="3"/>
    <n v="380"/>
    <n v="18"/>
    <n v="73050"/>
    <n v="0"/>
    <n v="73050"/>
    <n v="4100"/>
    <n v="68950"/>
    <n v="4.7368421052631497E-2"/>
    <n v="192.23684210499999"/>
    <n v="181.44736842099999"/>
  </r>
  <r>
    <x v="13"/>
    <x v="0"/>
    <n v="151"/>
    <n v="23"/>
    <n v="28980"/>
    <n v="6085.8"/>
    <n v="22894.2"/>
    <n v="2701.8"/>
    <n v="20192.400000000001"/>
    <n v="0.15231788079470199"/>
    <n v="151.61721854300001"/>
    <n v="133.72450331100001"/>
  </r>
  <r>
    <x v="13"/>
    <x v="1"/>
    <n v="1603"/>
    <n v="289"/>
    <n v="326700"/>
    <n v="68607"/>
    <n v="258093"/>
    <n v="42699.5"/>
    <n v="215393.5"/>
    <n v="0.1802869619463506"/>
    <n v="161.006238303"/>
    <n v="134.368995633"/>
  </r>
  <r>
    <x v="13"/>
    <x v="2"/>
    <n v="606"/>
    <n v="79"/>
    <n v="128420"/>
    <n v="26968.2"/>
    <n v="101451.8"/>
    <n v="13430"/>
    <n v="88021.8"/>
    <n v="0.1303630363036303"/>
    <n v="167.41221122100001"/>
    <n v="145.25049505000001"/>
  </r>
  <r>
    <x v="13"/>
    <x v="3"/>
    <n v="445"/>
    <n v="17"/>
    <n v="88340"/>
    <n v="0"/>
    <n v="88340"/>
    <n v="2720"/>
    <n v="85620"/>
    <n v="3.8202247191011202E-2"/>
    <n v="198.51685393299999"/>
    <n v="192.404494382"/>
  </r>
  <r>
    <x v="14"/>
    <x v="0"/>
    <n v="145"/>
    <n v="19"/>
    <n v="27550"/>
    <n v="5785.5"/>
    <n v="21764.5"/>
    <n v="2717.6"/>
    <n v="19046.900000000001"/>
    <n v="0.1310344827586207"/>
    <n v="150.1"/>
    <n v="131.35793103399999"/>
  </r>
  <r>
    <x v="14"/>
    <x v="1"/>
    <n v="1654"/>
    <n v="315"/>
    <n v="327990"/>
    <n v="68877.899999999994"/>
    <n v="259112.1"/>
    <n v="51626.5"/>
    <n v="207485.6"/>
    <n v="0.1904474002418379"/>
    <n v="156.657859734"/>
    <n v="125.444740024"/>
  </r>
  <r>
    <x v="14"/>
    <x v="2"/>
    <n v="486"/>
    <n v="88"/>
    <n v="94330"/>
    <n v="19809.3"/>
    <n v="74520.7"/>
    <n v="12197.6"/>
    <n v="62323.1"/>
    <n v="0.18106995884773661"/>
    <n v="153.33477366299999"/>
    <n v="128.236831276"/>
  </r>
  <r>
    <x v="14"/>
    <x v="3"/>
    <n v="437"/>
    <n v="18"/>
    <n v="85750"/>
    <n v="0"/>
    <n v="85750"/>
    <n v="2810"/>
    <n v="82940"/>
    <n v="4.1189931350114402E-2"/>
    <n v="196.224256293"/>
    <n v="189.79405034300001"/>
  </r>
  <r>
    <x v="15"/>
    <x v="0"/>
    <n v="110"/>
    <n v="12"/>
    <n v="20830"/>
    <n v="4374.3"/>
    <n v="16455.7"/>
    <n v="1390.4"/>
    <n v="15065.3"/>
    <n v="0.109090909090909"/>
    <n v="149.59727272699999"/>
    <n v="136.957272727"/>
  </r>
  <r>
    <x v="15"/>
    <x v="1"/>
    <n v="1538"/>
    <n v="271"/>
    <n v="297110"/>
    <n v="62393.1"/>
    <n v="234716.9"/>
    <n v="43110.3"/>
    <n v="191606.6"/>
    <n v="0.1762028608582574"/>
    <n v="152.611768531"/>
    <n v="124.581664499"/>
  </r>
  <r>
    <x v="15"/>
    <x v="2"/>
    <n v="542"/>
    <n v="53"/>
    <n v="106090"/>
    <n v="22278.9"/>
    <n v="83811.100000000006"/>
    <n v="7915.8"/>
    <n v="75895.3"/>
    <n v="9.7785977859778495E-2"/>
    <n v="154.63302583000001"/>
    <n v="140.02822878200001"/>
  </r>
  <r>
    <x v="15"/>
    <x v="3"/>
    <n v="367"/>
    <n v="7"/>
    <n v="71360"/>
    <n v="0"/>
    <n v="71360"/>
    <n v="2030"/>
    <n v="69330"/>
    <n v="1.9073569482288801E-2"/>
    <n v="194.44141689400001"/>
    <n v="188.910081744"/>
  </r>
  <r>
    <x v="16"/>
    <x v="0"/>
    <n v="141"/>
    <n v="20"/>
    <n v="30030"/>
    <n v="6306.3"/>
    <n v="23723.7"/>
    <n v="2425.3000000000002"/>
    <n v="21298.400000000001"/>
    <n v="0.1418439716312056"/>
    <n v="168.25319148899999"/>
    <n v="151.05248227000001"/>
  </r>
  <r>
    <x v="16"/>
    <x v="1"/>
    <n v="1658"/>
    <n v="298"/>
    <n v="323000"/>
    <n v="67830"/>
    <n v="255170"/>
    <n v="44437.5"/>
    <n v="210732.5"/>
    <n v="0.17973462002412541"/>
    <n v="153.902291918"/>
    <n v="127.10042219499999"/>
  </r>
  <r>
    <x v="16"/>
    <x v="2"/>
    <n v="519"/>
    <n v="70"/>
    <n v="101060"/>
    <n v="21222.6"/>
    <n v="79837.399999999994"/>
    <n v="11597.2"/>
    <n v="68240.2"/>
    <n v="0.13487475915221581"/>
    <n v="153.829287091"/>
    <n v="131.48400770699999"/>
  </r>
  <r>
    <x v="16"/>
    <x v="3"/>
    <n v="371"/>
    <n v="20"/>
    <n v="72550"/>
    <n v="0"/>
    <n v="72550"/>
    <n v="2700"/>
    <n v="69850"/>
    <n v="5.3908355795148202E-2"/>
    <n v="195.55256064700001"/>
    <n v="188.27493261500001"/>
  </r>
  <r>
    <x v="17"/>
    <x v="0"/>
    <n v="129"/>
    <n v="21"/>
    <n v="27680"/>
    <n v="5812.8"/>
    <n v="21867.200000000001"/>
    <n v="2930.9"/>
    <n v="18936.3"/>
    <n v="0.16279069767441859"/>
    <n v="169.51317829499999"/>
    <n v="146.793023256"/>
  </r>
  <r>
    <x v="17"/>
    <x v="1"/>
    <n v="1748"/>
    <n v="323"/>
    <n v="340150"/>
    <n v="71431.5"/>
    <n v="268718.5"/>
    <n v="47747.6"/>
    <n v="220970.9"/>
    <n v="0.18478260869565211"/>
    <n v="153.72911899299999"/>
    <n v="126.413558352"/>
  </r>
  <r>
    <x v="17"/>
    <x v="2"/>
    <n v="557"/>
    <n v="82"/>
    <n v="109350"/>
    <n v="22963.5"/>
    <n v="86386.5"/>
    <n v="11936.9"/>
    <n v="74449.600000000006"/>
    <n v="0.14721723518850979"/>
    <n v="155.09245960499999"/>
    <n v="133.66175942500001"/>
  </r>
  <r>
    <x v="17"/>
    <x v="3"/>
    <n v="394"/>
    <n v="20"/>
    <n v="78860"/>
    <n v="0"/>
    <n v="78860"/>
    <n v="3870"/>
    <n v="74990"/>
    <n v="5.0761421319796898E-2"/>
    <n v="200.152284264"/>
    <n v="190.329949239"/>
  </r>
  <r>
    <x v="18"/>
    <x v="0"/>
    <n v="193"/>
    <n v="27"/>
    <n v="40530"/>
    <n v="8511.2999999999993"/>
    <n v="32018.7"/>
    <n v="5040.2"/>
    <n v="26978.5"/>
    <n v="0.13989637305699479"/>
    <n v="165.9"/>
    <n v="139.78497409299999"/>
  </r>
  <r>
    <x v="18"/>
    <x v="1"/>
    <n v="2142"/>
    <n v="380"/>
    <n v="419410"/>
    <n v="88076.1"/>
    <n v="331333.90000000002"/>
    <n v="53396.1"/>
    <n v="277937.8"/>
    <n v="0.1774042950513538"/>
    <n v="154.684360411"/>
    <n v="129.75620914999999"/>
  </r>
  <r>
    <x v="18"/>
    <x v="2"/>
    <n v="790"/>
    <n v="118"/>
    <n v="163620"/>
    <n v="34360.199999999997"/>
    <n v="129259.8"/>
    <n v="17893.5"/>
    <n v="111366.3"/>
    <n v="0.1493670886075949"/>
    <n v="163.62"/>
    <n v="140.97"/>
  </r>
  <r>
    <x v="18"/>
    <x v="3"/>
    <n v="483"/>
    <n v="25"/>
    <n v="98630"/>
    <n v="0"/>
    <n v="98630"/>
    <n v="4970"/>
    <n v="93660"/>
    <n v="5.1759834368530003E-2"/>
    <n v="204.202898551"/>
    <n v="193.91304347799999"/>
  </r>
  <r>
    <x v="19"/>
    <x v="0"/>
    <n v="187"/>
    <n v="18"/>
    <n v="34780"/>
    <n v="7303.8"/>
    <n v="27476.2"/>
    <n v="3049.4"/>
    <n v="24426.799999999999"/>
    <n v="9.6256684491978606E-2"/>
    <n v="146.931550802"/>
    <n v="130.62459892999999"/>
  </r>
  <r>
    <x v="19"/>
    <x v="1"/>
    <n v="2475"/>
    <n v="445"/>
    <n v="501600"/>
    <n v="105336"/>
    <n v="396264"/>
    <n v="71629.3"/>
    <n v="324634.7"/>
    <n v="0.17979797979797971"/>
    <n v="160.10666666700001"/>
    <n v="131.16553535400001"/>
  </r>
  <r>
    <x v="19"/>
    <x v="2"/>
    <n v="830"/>
    <n v="103"/>
    <n v="162300"/>
    <n v="34083"/>
    <n v="128217"/>
    <n v="16566.3"/>
    <n v="111650.7"/>
    <n v="0.12409638554216861"/>
    <n v="154.47831325300001"/>
    <n v="134.518915663"/>
  </r>
  <r>
    <x v="19"/>
    <x v="3"/>
    <n v="629"/>
    <n v="23"/>
    <n v="118870"/>
    <n v="0"/>
    <n v="118870"/>
    <n v="3470"/>
    <n v="115400"/>
    <n v="3.6565977742448297E-2"/>
    <n v="188.98251192399999"/>
    <n v="183.46581875999999"/>
  </r>
  <r>
    <x v="20"/>
    <x v="0"/>
    <n v="134"/>
    <n v="26"/>
    <n v="28340"/>
    <n v="5951.4"/>
    <n v="22388.6"/>
    <n v="5214"/>
    <n v="17174.599999999999"/>
    <n v="0.19402985074626861"/>
    <n v="167.079104478"/>
    <n v="128.16865671599999"/>
  </r>
  <r>
    <x v="20"/>
    <x v="1"/>
    <n v="1502"/>
    <n v="267"/>
    <n v="300450"/>
    <n v="63094.5"/>
    <n v="237355.5"/>
    <n v="41190.6"/>
    <n v="196164.9"/>
    <n v="0.177762982689747"/>
    <n v="158.02629826899999"/>
    <n v="130.602463382"/>
  </r>
  <r>
    <x v="20"/>
    <x v="2"/>
    <n v="466"/>
    <n v="69"/>
    <n v="91520"/>
    <n v="19219.2"/>
    <n v="72300.800000000003"/>
    <n v="11162.7"/>
    <n v="61138.1"/>
    <n v="0.14806866952789699"/>
    <n v="155.15193133"/>
    <n v="131.197639485"/>
  </r>
  <r>
    <x v="20"/>
    <x v="3"/>
    <n v="361"/>
    <n v="12"/>
    <n v="70890"/>
    <n v="0"/>
    <n v="70890"/>
    <n v="2360"/>
    <n v="68530"/>
    <n v="3.3240997229916899E-2"/>
    <n v="196.37119113599999"/>
    <n v="189.833795014"/>
  </r>
  <r>
    <x v="21"/>
    <x v="0"/>
    <n v="90"/>
    <n v="18"/>
    <n v="17710"/>
    <n v="3719.1"/>
    <n v="13990.9"/>
    <n v="2899.3"/>
    <n v="11091.6"/>
    <n v="0.2"/>
    <n v="155.45444444399999"/>
    <n v="123.24"/>
  </r>
  <r>
    <x v="21"/>
    <x v="1"/>
    <n v="1293"/>
    <n v="211"/>
    <n v="245930"/>
    <n v="51645.3"/>
    <n v="194284.7"/>
    <n v="31473.599999999999"/>
    <n v="162811.1"/>
    <n v="0.1631863882443928"/>
    <n v="150.258855375"/>
    <n v="125.917324053"/>
  </r>
  <r>
    <x v="21"/>
    <x v="2"/>
    <n v="452"/>
    <n v="65"/>
    <n v="87890"/>
    <n v="18456.900000000001"/>
    <n v="69433.100000000006"/>
    <n v="11391.8"/>
    <n v="58041.3"/>
    <n v="0.14380530973451319"/>
    <n v="153.61305309700001"/>
    <n v="128.409955752"/>
  </r>
  <r>
    <x v="21"/>
    <x v="3"/>
    <n v="295"/>
    <n v="11"/>
    <n v="56530"/>
    <n v="0"/>
    <n v="56530"/>
    <n v="1480"/>
    <n v="55050"/>
    <n v="3.7288135593220299E-2"/>
    <n v="191.62711864400001"/>
    <n v="186.61016949200001"/>
  </r>
  <r>
    <x v="22"/>
    <x v="0"/>
    <n v="165"/>
    <n v="19"/>
    <n v="31600"/>
    <n v="6636"/>
    <n v="24964"/>
    <n v="3167.9"/>
    <n v="21796.1"/>
    <n v="0.1151515151515151"/>
    <n v="151.29696969700001"/>
    <n v="132.097575758"/>
  </r>
  <r>
    <x v="22"/>
    <x v="1"/>
    <n v="1781"/>
    <n v="313"/>
    <n v="365610"/>
    <n v="76778.100000000006"/>
    <n v="288831.90000000002"/>
    <n v="52092.6"/>
    <n v="236739.3"/>
    <n v="0.1757439640651319"/>
    <n v="162.17400336899999"/>
    <n v="132.92492981500001"/>
  </r>
  <r>
    <x v="22"/>
    <x v="2"/>
    <n v="522"/>
    <n v="72"/>
    <n v="104090"/>
    <n v="21858.9"/>
    <n v="82231.100000000006"/>
    <n v="12711.1"/>
    <n v="69520"/>
    <n v="0.13793103448275859"/>
    <n v="157.530842912"/>
    <n v="133.18007662799999"/>
  </r>
  <r>
    <x v="22"/>
    <x v="3"/>
    <n v="424"/>
    <n v="13"/>
    <n v="86330"/>
    <n v="0"/>
    <n v="86330"/>
    <n v="2430"/>
    <n v="83900"/>
    <n v="3.06603773584905E-2"/>
    <n v="203.608490566"/>
    <n v="197.877358491"/>
  </r>
  <r>
    <x v="23"/>
    <x v="0"/>
    <n v="163"/>
    <n v="24"/>
    <n v="31950"/>
    <n v="6709.5"/>
    <n v="25240.5"/>
    <n v="2875.6"/>
    <n v="22364.9"/>
    <n v="0.14723926380368099"/>
    <n v="154.84969325200001"/>
    <n v="137.20797546"/>
  </r>
  <r>
    <x v="23"/>
    <x v="1"/>
    <n v="1811"/>
    <n v="322"/>
    <n v="380320"/>
    <n v="79867.199999999997"/>
    <n v="300452.8"/>
    <n v="53625.2"/>
    <n v="246827.6"/>
    <n v="0.1778023191606847"/>
    <n v="165.90436223099999"/>
    <n v="136.29353948100001"/>
  </r>
  <r>
    <x v="23"/>
    <x v="2"/>
    <n v="615"/>
    <n v="87"/>
    <n v="126550"/>
    <n v="26575.5"/>
    <n v="99974.5"/>
    <n v="13967.2"/>
    <n v="86007.3"/>
    <n v="0.1414634146341463"/>
    <n v="162.56016260199999"/>
    <n v="139.84926829299999"/>
  </r>
  <r>
    <x v="23"/>
    <x v="3"/>
    <n v="483"/>
    <n v="19"/>
    <n v="98130"/>
    <n v="0"/>
    <n v="98130"/>
    <n v="4440"/>
    <n v="93690"/>
    <n v="3.9337474120082802E-2"/>
    <n v="203.16770186299999"/>
    <n v="193.97515528"/>
  </r>
  <r>
    <x v="24"/>
    <x v="0"/>
    <n v="171"/>
    <n v="26"/>
    <n v="35390"/>
    <n v="7431.9"/>
    <n v="27958.1"/>
    <n v="4029"/>
    <n v="23929.1"/>
    <n v="0.1520467836257309"/>
    <n v="163.497660819"/>
    <n v="139.93625731"/>
  </r>
  <r>
    <x v="24"/>
    <x v="1"/>
    <n v="1814"/>
    <n v="329"/>
    <n v="371010"/>
    <n v="77912.100000000006"/>
    <n v="293097.90000000002"/>
    <n v="51326.3"/>
    <n v="241771.6"/>
    <n v="0.18136714443219401"/>
    <n v="161.575468578"/>
    <n v="133.28092613000001"/>
  </r>
  <r>
    <x v="24"/>
    <x v="2"/>
    <n v="571"/>
    <n v="78"/>
    <n v="108910"/>
    <n v="22871.1"/>
    <n v="86038.9"/>
    <n v="11589.3"/>
    <n v="74449.600000000006"/>
    <n v="0.13660245183887909"/>
    <n v="150.681085814"/>
    <n v="130.38458844100001"/>
  </r>
  <r>
    <x v="24"/>
    <x v="3"/>
    <n v="429"/>
    <n v="20"/>
    <n v="89120"/>
    <n v="0"/>
    <n v="89120"/>
    <n v="4180"/>
    <n v="84940"/>
    <n v="4.6620046620046603E-2"/>
    <n v="207.73892773899999"/>
    <n v="197.99533799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x v="0"/>
    <x v="0"/>
    <n v="3"/>
    <n v="3"/>
    <n v="490"/>
    <n v="102.9"/>
    <n v="387.1"/>
    <n v="387.1"/>
    <n v="0"/>
    <n v="1"/>
    <n v="129.033333333"/>
    <n v="0"/>
  </r>
  <r>
    <x v="0"/>
    <x v="1"/>
    <n v="139"/>
    <n v="25"/>
    <n v="26290"/>
    <n v="5520.9"/>
    <n v="20769.099999999999"/>
    <n v="4068.5"/>
    <n v="16700.599999999999"/>
    <n v="0.17985611510791361"/>
    <n v="149.417985612"/>
    <n v="120.148201439"/>
  </r>
  <r>
    <x v="0"/>
    <x v="2"/>
    <n v="41"/>
    <n v="8"/>
    <n v="9500"/>
    <n v="1995"/>
    <n v="7505"/>
    <n v="1516.8"/>
    <n v="5988.2"/>
    <n v="0.1951219512195122"/>
    <n v="183.04878048800001"/>
    <n v="146.05365853699999"/>
  </r>
  <r>
    <x v="0"/>
    <x v="3"/>
    <n v="44"/>
    <n v="1"/>
    <n v="9500"/>
    <n v="0"/>
    <n v="9500"/>
    <n v="150"/>
    <n v="9350"/>
    <n v="2.27272727272727E-2"/>
    <n v="215.90909090900001"/>
    <n v="212.5"/>
  </r>
  <r>
    <x v="1"/>
    <x v="0"/>
    <n v="98"/>
    <n v="9"/>
    <n v="18570"/>
    <n v="3899.7"/>
    <n v="14670.3"/>
    <n v="1287.7"/>
    <n v="13382.6"/>
    <n v="9.18367346938775E-2"/>
    <n v="149.696938776"/>
    <n v="136.557142857"/>
  </r>
  <r>
    <x v="1"/>
    <x v="1"/>
    <n v="1416"/>
    <n v="259"/>
    <n v="271720"/>
    <n v="57061.2"/>
    <n v="214658.8"/>
    <n v="41103.699999999997"/>
    <n v="173555.1"/>
    <n v="0.18290960451977401"/>
    <n v="151.59519774"/>
    <n v="122.567161017"/>
  </r>
  <r>
    <x v="1"/>
    <x v="2"/>
    <n v="498"/>
    <n v="64"/>
    <n v="102860"/>
    <n v="21600.6"/>
    <n v="81259.399999999994"/>
    <n v="12877"/>
    <n v="68382.399999999994"/>
    <n v="0.1285140562248995"/>
    <n v="163.17148594400001"/>
    <n v="137.314056225"/>
  </r>
  <r>
    <x v="1"/>
    <x v="3"/>
    <n v="349"/>
    <n v="8"/>
    <n v="69000"/>
    <n v="0"/>
    <n v="69000"/>
    <n v="1630"/>
    <n v="67370"/>
    <n v="2.2922636103151799E-2"/>
    <n v="197.70773639000001"/>
    <n v="193.03724928400001"/>
  </r>
  <r>
    <x v="2"/>
    <x v="0"/>
    <n v="109"/>
    <n v="16"/>
    <n v="24770"/>
    <n v="5201.7"/>
    <n v="19568.3"/>
    <n v="2678.1"/>
    <n v="16890.2"/>
    <n v="0.146788990825688"/>
    <n v="179.525688073"/>
    <n v="154.955963303"/>
  </r>
  <r>
    <x v="2"/>
    <x v="1"/>
    <n v="1394"/>
    <n v="239"/>
    <n v="279240"/>
    <n v="58640.4"/>
    <n v="220599.6"/>
    <n v="36371.599999999999"/>
    <n v="184228"/>
    <n v="0.1714490674318507"/>
    <n v="158.24935437600001"/>
    <n v="132.157819225"/>
  </r>
  <r>
    <x v="2"/>
    <x v="2"/>
    <n v="391"/>
    <n v="60"/>
    <n v="79970"/>
    <n v="16793.7"/>
    <n v="63176.3"/>
    <n v="9179.7999999999993"/>
    <n v="53996.5"/>
    <n v="0.15345268542199481"/>
    <n v="161.57621483400001"/>
    <n v="138.098465473"/>
  </r>
  <r>
    <x v="2"/>
    <x v="3"/>
    <n v="318"/>
    <n v="12"/>
    <n v="63530"/>
    <n v="0"/>
    <n v="63530"/>
    <n v="2870"/>
    <n v="60660"/>
    <n v="3.7735849056603703E-2"/>
    <n v="199.77987421399999"/>
    <n v="190.754716981"/>
  </r>
  <r>
    <x v="3"/>
    <x v="0"/>
    <n v="118"/>
    <n v="16"/>
    <n v="24390"/>
    <n v="5121.8999999999996"/>
    <n v="19268.099999999999"/>
    <n v="3160"/>
    <n v="16108.1"/>
    <n v="0.13559322033898299"/>
    <n v="163.288983051"/>
    <n v="136.50932203400001"/>
  </r>
  <r>
    <x v="3"/>
    <x v="1"/>
    <n v="1349"/>
    <n v="253"/>
    <n v="268650"/>
    <n v="56416.5"/>
    <n v="212233.5"/>
    <n v="39302.5"/>
    <n v="172931"/>
    <n v="0.18754633061527051"/>
    <n v="157.32653817600001"/>
    <n v="128.19199406999999"/>
  </r>
  <r>
    <x v="3"/>
    <x v="2"/>
    <n v="391"/>
    <n v="54"/>
    <n v="76650"/>
    <n v="16096.5"/>
    <n v="60553.5"/>
    <n v="7694.6"/>
    <n v="52858.9"/>
    <n v="0.1381074168797953"/>
    <n v="154.868286445"/>
    <n v="135.189002558"/>
  </r>
  <r>
    <x v="3"/>
    <x v="3"/>
    <n v="354"/>
    <n v="18"/>
    <n v="69420"/>
    <n v="0"/>
    <n v="69420"/>
    <n v="3940"/>
    <n v="65480"/>
    <n v="5.0847457627118599E-2"/>
    <n v="196.101694915"/>
    <n v="184.971751412"/>
  </r>
  <r>
    <x v="4"/>
    <x v="0"/>
    <n v="108"/>
    <n v="15"/>
    <n v="17330"/>
    <n v="3639.3"/>
    <n v="13690.7"/>
    <n v="2038.2"/>
    <n v="11652.5"/>
    <n v="0.1388888888888889"/>
    <n v="126.765740741"/>
    <n v="107.893518519"/>
  </r>
  <r>
    <x v="4"/>
    <x v="1"/>
    <n v="1320"/>
    <n v="239"/>
    <n v="262080"/>
    <n v="55036.800000000003"/>
    <n v="207043.20000000001"/>
    <n v="39120.800000000003"/>
    <n v="167922.4"/>
    <n v="0.18106060606060601"/>
    <n v="156.85090909100001"/>
    <n v="127.21393939399999"/>
  </r>
  <r>
    <x v="4"/>
    <x v="2"/>
    <n v="444"/>
    <n v="62"/>
    <n v="90930"/>
    <n v="19095.3"/>
    <n v="71834.7"/>
    <n v="10088.299999999999"/>
    <n v="61746.400000000001"/>
    <n v="0.1396396396396396"/>
    <n v="161.789864865"/>
    <n v="139.06846846799999"/>
  </r>
  <r>
    <x v="4"/>
    <x v="3"/>
    <n v="338"/>
    <n v="7"/>
    <n v="64300"/>
    <n v="0"/>
    <n v="64300"/>
    <n v="1260"/>
    <n v="63040"/>
    <n v="2.07100591715976E-2"/>
    <n v="190.23668639100001"/>
    <n v="186.50887574000001"/>
  </r>
  <r>
    <x v="5"/>
    <x v="0"/>
    <n v="127"/>
    <n v="20"/>
    <n v="22490"/>
    <n v="4722.8999999999996"/>
    <n v="17767.099999999999"/>
    <n v="2891.4"/>
    <n v="14875.7"/>
    <n v="0.15748031496062989"/>
    <n v="139.89842519699999"/>
    <n v="117.131496063"/>
  </r>
  <r>
    <x v="5"/>
    <x v="1"/>
    <n v="1484"/>
    <n v="291"/>
    <n v="290310"/>
    <n v="60965.1"/>
    <n v="229344.9"/>
    <n v="46997.1"/>
    <n v="182347.8"/>
    <n v="0.1960916442048517"/>
    <n v="154.54508086300001"/>
    <n v="122.875876011"/>
  </r>
  <r>
    <x v="5"/>
    <x v="2"/>
    <n v="530"/>
    <n v="77"/>
    <n v="97850"/>
    <n v="20548.5"/>
    <n v="77301.5"/>
    <n v="10641.3"/>
    <n v="66660.2"/>
    <n v="0.1452830188679245"/>
    <n v="145.85188679199999"/>
    <n v="125.77396226400001"/>
  </r>
  <r>
    <x v="5"/>
    <x v="3"/>
    <n v="390"/>
    <n v="15"/>
    <n v="83230"/>
    <n v="0"/>
    <n v="83230"/>
    <n v="3670"/>
    <n v="79560"/>
    <n v="3.8461538461538401E-2"/>
    <n v="213.41025640999999"/>
    <n v="204"/>
  </r>
  <r>
    <x v="6"/>
    <x v="0"/>
    <n v="171"/>
    <n v="30"/>
    <n v="39470"/>
    <n v="8288.7000000000007"/>
    <n v="31181.3"/>
    <n v="5079.7"/>
    <n v="26101.599999999999"/>
    <n v="0.175438596491228"/>
    <n v="182.34678362599999"/>
    <n v="152.640935673"/>
  </r>
  <r>
    <x v="6"/>
    <x v="1"/>
    <n v="1818"/>
    <n v="293"/>
    <n v="363900"/>
    <n v="76419"/>
    <n v="287481"/>
    <n v="46436.2"/>
    <n v="241044.8"/>
    <n v="0.16116611661166111"/>
    <n v="158.13036303600001"/>
    <n v="132.58789879"/>
  </r>
  <r>
    <x v="6"/>
    <x v="2"/>
    <n v="620"/>
    <n v="81"/>
    <n v="120520"/>
    <n v="25309.200000000001"/>
    <n v="95210.8"/>
    <n v="13588"/>
    <n v="81622.8"/>
    <n v="0.1306451612903225"/>
    <n v="153.565806452"/>
    <n v="131.649677419"/>
  </r>
  <r>
    <x v="6"/>
    <x v="3"/>
    <n v="439"/>
    <n v="18"/>
    <n v="88230"/>
    <n v="0"/>
    <n v="88230"/>
    <n v="3150"/>
    <n v="85080"/>
    <n v="4.1002277904327998E-2"/>
    <n v="200.979498861"/>
    <n v="193.80410022800001"/>
  </r>
  <r>
    <x v="7"/>
    <x v="0"/>
    <n v="181"/>
    <n v="33"/>
    <n v="36360"/>
    <n v="7635.6"/>
    <n v="28724.400000000001"/>
    <n v="5135"/>
    <n v="23589.4"/>
    <n v="0.1823204419889502"/>
    <n v="158.69834254099999"/>
    <n v="130.32817679600001"/>
  </r>
  <r>
    <x v="7"/>
    <x v="1"/>
    <n v="1997"/>
    <n v="342"/>
    <n v="391970"/>
    <n v="82313.7"/>
    <n v="309656.3"/>
    <n v="54265.1"/>
    <n v="255391.2"/>
    <n v="0.17125688532799199"/>
    <n v="155.06074111199999"/>
    <n v="127.887431147"/>
  </r>
  <r>
    <x v="7"/>
    <x v="2"/>
    <n v="737"/>
    <n v="65"/>
    <n v="142850"/>
    <n v="29998.5"/>
    <n v="112851.5"/>
    <n v="9638"/>
    <n v="103213.5"/>
    <n v="8.8195386702849293E-2"/>
    <n v="153.122795115"/>
    <n v="140.04545454500001"/>
  </r>
  <r>
    <x v="7"/>
    <x v="3"/>
    <n v="517"/>
    <n v="24"/>
    <n v="99340"/>
    <n v="0"/>
    <n v="99340"/>
    <n v="5290"/>
    <n v="94050"/>
    <n v="4.6421663442939999E-2"/>
    <n v="192.147001934"/>
    <n v="181.91489361699999"/>
  </r>
  <r>
    <x v="8"/>
    <x v="0"/>
    <n v="96"/>
    <n v="10"/>
    <n v="17520"/>
    <n v="3679.2"/>
    <n v="13840.8"/>
    <n v="1279.8"/>
    <n v="12561"/>
    <n v="0.1041666666666666"/>
    <n v="144.17500000000001"/>
    <n v="130.84375"/>
  </r>
  <r>
    <x v="8"/>
    <x v="1"/>
    <n v="1179"/>
    <n v="217"/>
    <n v="235470"/>
    <n v="49448.7"/>
    <n v="186021.3"/>
    <n v="35320.9"/>
    <n v="150700.4"/>
    <n v="0.18405428329092449"/>
    <n v="157.778880407"/>
    <n v="127.82052586899999"/>
  </r>
  <r>
    <x v="8"/>
    <x v="2"/>
    <n v="427"/>
    <n v="49"/>
    <n v="81300"/>
    <n v="17073"/>
    <n v="64227"/>
    <n v="7031"/>
    <n v="57196"/>
    <n v="0.1147540983606557"/>
    <n v="150.41451990600001"/>
    <n v="133.948477752"/>
  </r>
  <r>
    <x v="8"/>
    <x v="3"/>
    <n v="314"/>
    <n v="21"/>
    <n v="61810"/>
    <n v="0"/>
    <n v="61810"/>
    <n v="4480"/>
    <n v="57330"/>
    <n v="6.6878980891719703E-2"/>
    <n v="196.84713375800001"/>
    <n v="182.579617834"/>
  </r>
  <r>
    <x v="9"/>
    <x v="0"/>
    <n v="98"/>
    <n v="15"/>
    <n v="19790"/>
    <n v="4155.8999999999996"/>
    <n v="15634.1"/>
    <n v="2196.1999999999998"/>
    <n v="13437.9"/>
    <n v="0.15306122448979589"/>
    <n v="159.531632653"/>
    <n v="137.121428571"/>
  </r>
  <r>
    <x v="9"/>
    <x v="1"/>
    <n v="1034"/>
    <n v="194"/>
    <n v="213400"/>
    <n v="44814"/>
    <n v="168586"/>
    <n v="29941"/>
    <n v="138645"/>
    <n v="0.18762088974854929"/>
    <n v="163.042553191"/>
    <n v="134.08607350099999"/>
  </r>
  <r>
    <x v="9"/>
    <x v="2"/>
    <n v="331"/>
    <n v="28"/>
    <n v="65690"/>
    <n v="13794.9"/>
    <n v="51895.1"/>
    <n v="4819"/>
    <n v="47076.1"/>
    <n v="8.4592145015105702E-2"/>
    <n v="156.78277945599999"/>
    <n v="142.22386706899999"/>
  </r>
  <r>
    <x v="9"/>
    <x v="3"/>
    <n v="256"/>
    <n v="15"/>
    <n v="50380"/>
    <n v="0"/>
    <n v="50380"/>
    <n v="3180"/>
    <n v="47200"/>
    <n v="5.859375E-2"/>
    <n v="196.796875"/>
    <n v="184.375"/>
  </r>
  <r>
    <x v="10"/>
    <x v="0"/>
    <n v="103"/>
    <n v="11"/>
    <n v="19180"/>
    <n v="4027.8"/>
    <n v="15152.2"/>
    <n v="1303.5"/>
    <n v="13848.7"/>
    <n v="0.10679611650485429"/>
    <n v="147.10873786400001"/>
    <n v="134.453398058"/>
  </r>
  <r>
    <x v="10"/>
    <x v="1"/>
    <n v="1412"/>
    <n v="252"/>
    <n v="276560"/>
    <n v="58077.599999999999"/>
    <n v="218482.4"/>
    <n v="40361.1"/>
    <n v="178121.3"/>
    <n v="0.17847025495750701"/>
    <n v="154.73257790400001"/>
    <n v="126.148229462"/>
  </r>
  <r>
    <x v="10"/>
    <x v="2"/>
    <n v="488"/>
    <n v="61"/>
    <n v="99400"/>
    <n v="20874"/>
    <n v="78526"/>
    <n v="11470.8"/>
    <n v="67055.199999999997"/>
    <n v="0.125"/>
    <n v="160.913934426"/>
    <n v="137.408196721"/>
  </r>
  <r>
    <x v="10"/>
    <x v="3"/>
    <n v="364"/>
    <n v="18"/>
    <n v="71610"/>
    <n v="0"/>
    <n v="71610"/>
    <n v="4520"/>
    <n v="67090"/>
    <n v="4.94505494505494E-2"/>
    <n v="196.73076923100001"/>
    <n v="184.31318681299999"/>
  </r>
  <r>
    <x v="11"/>
    <x v="0"/>
    <n v="148"/>
    <n v="19"/>
    <n v="25640"/>
    <n v="5384.4"/>
    <n v="20255.599999999999"/>
    <n v="3041.5"/>
    <n v="17214.099999999999"/>
    <n v="0.12837837837837829"/>
    <n v="136.862162162"/>
    <n v="116.31148648600001"/>
  </r>
  <r>
    <x v="11"/>
    <x v="1"/>
    <n v="1500"/>
    <n v="286"/>
    <n v="291040"/>
    <n v="61118.400000000001"/>
    <n v="229921.6"/>
    <n v="42636.3"/>
    <n v="187285.3"/>
    <n v="0.1906666666666666"/>
    <n v="153.281066667"/>
    <n v="124.85686666700001"/>
  </r>
  <r>
    <x v="11"/>
    <x v="2"/>
    <n v="484"/>
    <n v="76"/>
    <n v="93720"/>
    <n v="19681.2"/>
    <n v="74038.8"/>
    <n v="11778.9"/>
    <n v="62259.9"/>
    <n v="0.1570247933884297"/>
    <n v="152.972727273"/>
    <n v="128.63615702499999"/>
  </r>
  <r>
    <x v="11"/>
    <x v="3"/>
    <n v="374"/>
    <n v="17"/>
    <n v="70780"/>
    <n v="0"/>
    <n v="70780"/>
    <n v="4150"/>
    <n v="66630"/>
    <n v="4.54545454545454E-2"/>
    <n v="189.25133689800001"/>
    <n v="178.15508021400001"/>
  </r>
  <r>
    <x v="12"/>
    <x v="0"/>
    <n v="161"/>
    <n v="26"/>
    <n v="31440"/>
    <n v="6602.4"/>
    <n v="24837.599999999999"/>
    <n v="3673.5"/>
    <n v="21164.1"/>
    <n v="0.16149068322981361"/>
    <n v="154.270807453"/>
    <n v="131.45403726699999"/>
  </r>
  <r>
    <x v="12"/>
    <x v="1"/>
    <n v="1623"/>
    <n v="270"/>
    <n v="317900"/>
    <n v="66759"/>
    <n v="251141"/>
    <n v="44769.3"/>
    <n v="206371.7"/>
    <n v="0.166358595194085"/>
    <n v="154.73875539100001"/>
    <n v="127.154467036"/>
  </r>
  <r>
    <x v="12"/>
    <x v="2"/>
    <n v="514"/>
    <n v="69"/>
    <n v="95750"/>
    <n v="20107.5"/>
    <n v="75642.5"/>
    <n v="10206.799999999999"/>
    <n v="65435.7"/>
    <n v="0.13424124513618671"/>
    <n v="147.16439688700001"/>
    <n v="127.306809339"/>
  </r>
  <r>
    <x v="12"/>
    <x v="3"/>
    <n v="380"/>
    <n v="18"/>
    <n v="73050"/>
    <n v="0"/>
    <n v="73050"/>
    <n v="4100"/>
    <n v="68950"/>
    <n v="4.7368421052631497E-2"/>
    <n v="192.23684210499999"/>
    <n v="181.44736842099999"/>
  </r>
  <r>
    <x v="13"/>
    <x v="0"/>
    <n v="151"/>
    <n v="23"/>
    <n v="28980"/>
    <n v="6085.8"/>
    <n v="22894.2"/>
    <n v="2701.8"/>
    <n v="20192.400000000001"/>
    <n v="0.15231788079470199"/>
    <n v="151.61721854300001"/>
    <n v="133.72450331100001"/>
  </r>
  <r>
    <x v="13"/>
    <x v="1"/>
    <n v="1603"/>
    <n v="289"/>
    <n v="326700"/>
    <n v="68607"/>
    <n v="258093"/>
    <n v="42699.5"/>
    <n v="215393.5"/>
    <n v="0.1802869619463506"/>
    <n v="161.006238303"/>
    <n v="134.368995633"/>
  </r>
  <r>
    <x v="13"/>
    <x v="2"/>
    <n v="606"/>
    <n v="79"/>
    <n v="128420"/>
    <n v="26968.2"/>
    <n v="101451.8"/>
    <n v="13430"/>
    <n v="88021.8"/>
    <n v="0.1303630363036303"/>
    <n v="167.41221122100001"/>
    <n v="145.25049505000001"/>
  </r>
  <r>
    <x v="13"/>
    <x v="3"/>
    <n v="445"/>
    <n v="17"/>
    <n v="88340"/>
    <n v="0"/>
    <n v="88340"/>
    <n v="2720"/>
    <n v="85620"/>
    <n v="3.8202247191011202E-2"/>
    <n v="198.51685393299999"/>
    <n v="192.404494382"/>
  </r>
  <r>
    <x v="14"/>
    <x v="0"/>
    <n v="145"/>
    <n v="19"/>
    <n v="27550"/>
    <n v="5785.5"/>
    <n v="21764.5"/>
    <n v="2717.6"/>
    <n v="19046.900000000001"/>
    <n v="0.1310344827586207"/>
    <n v="150.1"/>
    <n v="131.35793103399999"/>
  </r>
  <r>
    <x v="14"/>
    <x v="1"/>
    <n v="1654"/>
    <n v="315"/>
    <n v="327990"/>
    <n v="68877.899999999994"/>
    <n v="259112.1"/>
    <n v="51626.5"/>
    <n v="207485.6"/>
    <n v="0.1904474002418379"/>
    <n v="156.657859734"/>
    <n v="125.444740024"/>
  </r>
  <r>
    <x v="14"/>
    <x v="2"/>
    <n v="486"/>
    <n v="88"/>
    <n v="94330"/>
    <n v="19809.3"/>
    <n v="74520.7"/>
    <n v="12197.6"/>
    <n v="62323.1"/>
    <n v="0.18106995884773661"/>
    <n v="153.33477366299999"/>
    <n v="128.236831276"/>
  </r>
  <r>
    <x v="14"/>
    <x v="3"/>
    <n v="437"/>
    <n v="18"/>
    <n v="85750"/>
    <n v="0"/>
    <n v="85750"/>
    <n v="2810"/>
    <n v="82940"/>
    <n v="4.1189931350114402E-2"/>
    <n v="196.224256293"/>
    <n v="189.79405034300001"/>
  </r>
  <r>
    <x v="15"/>
    <x v="0"/>
    <n v="110"/>
    <n v="12"/>
    <n v="20830"/>
    <n v="4374.3"/>
    <n v="16455.7"/>
    <n v="1390.4"/>
    <n v="15065.3"/>
    <n v="0.109090909090909"/>
    <n v="149.59727272699999"/>
    <n v="136.957272727"/>
  </r>
  <r>
    <x v="15"/>
    <x v="1"/>
    <n v="1538"/>
    <n v="271"/>
    <n v="297110"/>
    <n v="62393.1"/>
    <n v="234716.9"/>
    <n v="43110.3"/>
    <n v="191606.6"/>
    <n v="0.1762028608582574"/>
    <n v="152.611768531"/>
    <n v="124.581664499"/>
  </r>
  <r>
    <x v="15"/>
    <x v="2"/>
    <n v="542"/>
    <n v="53"/>
    <n v="106090"/>
    <n v="22278.9"/>
    <n v="83811.100000000006"/>
    <n v="7915.8"/>
    <n v="75895.3"/>
    <n v="9.7785977859778495E-2"/>
    <n v="154.63302583000001"/>
    <n v="140.02822878200001"/>
  </r>
  <r>
    <x v="15"/>
    <x v="3"/>
    <n v="367"/>
    <n v="7"/>
    <n v="71360"/>
    <n v="0"/>
    <n v="71360"/>
    <n v="2030"/>
    <n v="69330"/>
    <n v="1.9073569482288801E-2"/>
    <n v="194.44141689400001"/>
    <n v="188.910081744"/>
  </r>
  <r>
    <x v="16"/>
    <x v="0"/>
    <n v="141"/>
    <n v="20"/>
    <n v="30030"/>
    <n v="6306.3"/>
    <n v="23723.7"/>
    <n v="2425.3000000000002"/>
    <n v="21298.400000000001"/>
    <n v="0.1418439716312056"/>
    <n v="168.25319148899999"/>
    <n v="151.05248227000001"/>
  </r>
  <r>
    <x v="16"/>
    <x v="1"/>
    <n v="1658"/>
    <n v="298"/>
    <n v="323000"/>
    <n v="67830"/>
    <n v="255170"/>
    <n v="44437.5"/>
    <n v="210732.5"/>
    <n v="0.17973462002412541"/>
    <n v="153.902291918"/>
    <n v="127.10042219499999"/>
  </r>
  <r>
    <x v="16"/>
    <x v="2"/>
    <n v="519"/>
    <n v="70"/>
    <n v="101060"/>
    <n v="21222.6"/>
    <n v="79837.399999999994"/>
    <n v="11597.2"/>
    <n v="68240.2"/>
    <n v="0.13487475915221581"/>
    <n v="153.829287091"/>
    <n v="131.48400770699999"/>
  </r>
  <r>
    <x v="16"/>
    <x v="3"/>
    <n v="371"/>
    <n v="20"/>
    <n v="72550"/>
    <n v="0"/>
    <n v="72550"/>
    <n v="2700"/>
    <n v="69850"/>
    <n v="5.3908355795148202E-2"/>
    <n v="195.55256064700001"/>
    <n v="188.27493261500001"/>
  </r>
  <r>
    <x v="17"/>
    <x v="0"/>
    <n v="129"/>
    <n v="21"/>
    <n v="27680"/>
    <n v="5812.8"/>
    <n v="21867.200000000001"/>
    <n v="2930.9"/>
    <n v="18936.3"/>
    <n v="0.16279069767441859"/>
    <n v="169.51317829499999"/>
    <n v="146.793023256"/>
  </r>
  <r>
    <x v="17"/>
    <x v="1"/>
    <n v="1748"/>
    <n v="323"/>
    <n v="340150"/>
    <n v="71431.5"/>
    <n v="268718.5"/>
    <n v="47747.6"/>
    <n v="220970.9"/>
    <n v="0.18478260869565211"/>
    <n v="153.72911899299999"/>
    <n v="126.413558352"/>
  </r>
  <r>
    <x v="17"/>
    <x v="2"/>
    <n v="557"/>
    <n v="82"/>
    <n v="109350"/>
    <n v="22963.5"/>
    <n v="86386.5"/>
    <n v="11936.9"/>
    <n v="74449.600000000006"/>
    <n v="0.14721723518850979"/>
    <n v="155.09245960499999"/>
    <n v="133.66175942500001"/>
  </r>
  <r>
    <x v="17"/>
    <x v="3"/>
    <n v="394"/>
    <n v="20"/>
    <n v="78860"/>
    <n v="0"/>
    <n v="78860"/>
    <n v="3870"/>
    <n v="74990"/>
    <n v="5.0761421319796898E-2"/>
    <n v="200.152284264"/>
    <n v="190.329949239"/>
  </r>
  <r>
    <x v="18"/>
    <x v="0"/>
    <n v="193"/>
    <n v="27"/>
    <n v="40530"/>
    <n v="8511.2999999999993"/>
    <n v="32018.7"/>
    <n v="5040.2"/>
    <n v="26978.5"/>
    <n v="0.13989637305699479"/>
    <n v="165.9"/>
    <n v="139.78497409299999"/>
  </r>
  <r>
    <x v="18"/>
    <x v="1"/>
    <n v="2142"/>
    <n v="380"/>
    <n v="419410"/>
    <n v="88076.1"/>
    <n v="331333.90000000002"/>
    <n v="53396.1"/>
    <n v="277937.8"/>
    <n v="0.1774042950513538"/>
    <n v="154.684360411"/>
    <n v="129.75620914999999"/>
  </r>
  <r>
    <x v="18"/>
    <x v="2"/>
    <n v="790"/>
    <n v="118"/>
    <n v="163620"/>
    <n v="34360.199999999997"/>
    <n v="129259.8"/>
    <n v="17893.5"/>
    <n v="111366.3"/>
    <n v="0.1493670886075949"/>
    <n v="163.62"/>
    <n v="140.97"/>
  </r>
  <r>
    <x v="18"/>
    <x v="3"/>
    <n v="483"/>
    <n v="25"/>
    <n v="98630"/>
    <n v="0"/>
    <n v="98630"/>
    <n v="4970"/>
    <n v="93660"/>
    <n v="5.1759834368530003E-2"/>
    <n v="204.202898551"/>
    <n v="193.91304347799999"/>
  </r>
  <r>
    <x v="19"/>
    <x v="0"/>
    <n v="187"/>
    <n v="18"/>
    <n v="34780"/>
    <n v="7303.8"/>
    <n v="27476.2"/>
    <n v="3049.4"/>
    <n v="24426.799999999999"/>
    <n v="9.6256684491978606E-2"/>
    <n v="146.931550802"/>
    <n v="130.62459892999999"/>
  </r>
  <r>
    <x v="19"/>
    <x v="1"/>
    <n v="2475"/>
    <n v="445"/>
    <n v="501600"/>
    <n v="105336"/>
    <n v="396264"/>
    <n v="71629.3"/>
    <n v="324634.7"/>
    <n v="0.17979797979797971"/>
    <n v="160.10666666700001"/>
    <n v="131.16553535400001"/>
  </r>
  <r>
    <x v="19"/>
    <x v="2"/>
    <n v="830"/>
    <n v="103"/>
    <n v="162300"/>
    <n v="34083"/>
    <n v="128217"/>
    <n v="16566.3"/>
    <n v="111650.7"/>
    <n v="0.12409638554216861"/>
    <n v="154.47831325300001"/>
    <n v="134.518915663"/>
  </r>
  <r>
    <x v="19"/>
    <x v="3"/>
    <n v="629"/>
    <n v="23"/>
    <n v="118870"/>
    <n v="0"/>
    <n v="118870"/>
    <n v="3470"/>
    <n v="115400"/>
    <n v="3.6565977742448297E-2"/>
    <n v="188.98251192399999"/>
    <n v="183.46581875999999"/>
  </r>
  <r>
    <x v="20"/>
    <x v="0"/>
    <n v="134"/>
    <n v="26"/>
    <n v="28340"/>
    <n v="5951.4"/>
    <n v="22388.6"/>
    <n v="5214"/>
    <n v="17174.599999999999"/>
    <n v="0.19402985074626861"/>
    <n v="167.079104478"/>
    <n v="128.16865671599999"/>
  </r>
  <r>
    <x v="20"/>
    <x v="1"/>
    <n v="1502"/>
    <n v="267"/>
    <n v="300450"/>
    <n v="63094.5"/>
    <n v="237355.5"/>
    <n v="41190.6"/>
    <n v="196164.9"/>
    <n v="0.177762982689747"/>
    <n v="158.02629826899999"/>
    <n v="130.602463382"/>
  </r>
  <r>
    <x v="20"/>
    <x v="2"/>
    <n v="466"/>
    <n v="69"/>
    <n v="91520"/>
    <n v="19219.2"/>
    <n v="72300.800000000003"/>
    <n v="11162.7"/>
    <n v="61138.1"/>
    <n v="0.14806866952789699"/>
    <n v="155.15193133"/>
    <n v="131.197639485"/>
  </r>
  <r>
    <x v="20"/>
    <x v="3"/>
    <n v="361"/>
    <n v="12"/>
    <n v="70890"/>
    <n v="0"/>
    <n v="70890"/>
    <n v="2360"/>
    <n v="68530"/>
    <n v="3.3240997229916899E-2"/>
    <n v="196.37119113599999"/>
    <n v="189.833795014"/>
  </r>
  <r>
    <x v="21"/>
    <x v="0"/>
    <n v="90"/>
    <n v="18"/>
    <n v="17710"/>
    <n v="3719.1"/>
    <n v="13990.9"/>
    <n v="2899.3"/>
    <n v="11091.6"/>
    <n v="0.2"/>
    <n v="155.45444444399999"/>
    <n v="123.24"/>
  </r>
  <r>
    <x v="21"/>
    <x v="1"/>
    <n v="1293"/>
    <n v="211"/>
    <n v="245930"/>
    <n v="51645.3"/>
    <n v="194284.7"/>
    <n v="31473.599999999999"/>
    <n v="162811.1"/>
    <n v="0.1631863882443928"/>
    <n v="150.258855375"/>
    <n v="125.917324053"/>
  </r>
  <r>
    <x v="21"/>
    <x v="2"/>
    <n v="452"/>
    <n v="65"/>
    <n v="87890"/>
    <n v="18456.900000000001"/>
    <n v="69433.100000000006"/>
    <n v="11391.8"/>
    <n v="58041.3"/>
    <n v="0.14380530973451319"/>
    <n v="153.61305309700001"/>
    <n v="128.409955752"/>
  </r>
  <r>
    <x v="21"/>
    <x v="3"/>
    <n v="295"/>
    <n v="11"/>
    <n v="56530"/>
    <n v="0"/>
    <n v="56530"/>
    <n v="1480"/>
    <n v="55050"/>
    <n v="3.7288135593220299E-2"/>
    <n v="191.62711864400001"/>
    <n v="186.61016949200001"/>
  </r>
  <r>
    <x v="22"/>
    <x v="0"/>
    <n v="165"/>
    <n v="19"/>
    <n v="31600"/>
    <n v="6636"/>
    <n v="24964"/>
    <n v="3167.9"/>
    <n v="21796.1"/>
    <n v="0.1151515151515151"/>
    <n v="151.29696969700001"/>
    <n v="132.097575758"/>
  </r>
  <r>
    <x v="22"/>
    <x v="1"/>
    <n v="1781"/>
    <n v="313"/>
    <n v="365610"/>
    <n v="76778.100000000006"/>
    <n v="288831.90000000002"/>
    <n v="52092.6"/>
    <n v="236739.3"/>
    <n v="0.1757439640651319"/>
    <n v="162.17400336899999"/>
    <n v="132.92492981500001"/>
  </r>
  <r>
    <x v="22"/>
    <x v="2"/>
    <n v="522"/>
    <n v="72"/>
    <n v="104090"/>
    <n v="21858.9"/>
    <n v="82231.100000000006"/>
    <n v="12711.1"/>
    <n v="69520"/>
    <n v="0.13793103448275859"/>
    <n v="157.530842912"/>
    <n v="133.18007662799999"/>
  </r>
  <r>
    <x v="22"/>
    <x v="3"/>
    <n v="424"/>
    <n v="13"/>
    <n v="86330"/>
    <n v="0"/>
    <n v="86330"/>
    <n v="2430"/>
    <n v="83900"/>
    <n v="3.06603773584905E-2"/>
    <n v="203.608490566"/>
    <n v="197.877358491"/>
  </r>
  <r>
    <x v="23"/>
    <x v="0"/>
    <n v="163"/>
    <n v="24"/>
    <n v="31950"/>
    <n v="6709.5"/>
    <n v="25240.5"/>
    <n v="2875.6"/>
    <n v="22364.9"/>
    <n v="0.14723926380368099"/>
    <n v="154.84969325200001"/>
    <n v="137.20797546"/>
  </r>
  <r>
    <x v="23"/>
    <x v="1"/>
    <n v="1811"/>
    <n v="322"/>
    <n v="380320"/>
    <n v="79867.199999999997"/>
    <n v="300452.8"/>
    <n v="53625.2"/>
    <n v="246827.6"/>
    <n v="0.1778023191606847"/>
    <n v="165.90436223099999"/>
    <n v="136.29353948100001"/>
  </r>
  <r>
    <x v="23"/>
    <x v="2"/>
    <n v="615"/>
    <n v="87"/>
    <n v="126550"/>
    <n v="26575.5"/>
    <n v="99974.5"/>
    <n v="13967.2"/>
    <n v="86007.3"/>
    <n v="0.1414634146341463"/>
    <n v="162.56016260199999"/>
    <n v="139.84926829299999"/>
  </r>
  <r>
    <x v="23"/>
    <x v="3"/>
    <n v="483"/>
    <n v="19"/>
    <n v="98130"/>
    <n v="0"/>
    <n v="98130"/>
    <n v="4440"/>
    <n v="93690"/>
    <n v="3.9337474120082802E-2"/>
    <n v="203.16770186299999"/>
    <n v="193.97515528"/>
  </r>
  <r>
    <x v="24"/>
    <x v="0"/>
    <n v="171"/>
    <n v="26"/>
    <n v="35390"/>
    <n v="7431.9"/>
    <n v="27958.1"/>
    <n v="4029"/>
    <n v="23929.1"/>
    <n v="0.1520467836257309"/>
    <n v="163.497660819"/>
    <n v="139.93625731"/>
  </r>
  <r>
    <x v="24"/>
    <x v="1"/>
    <n v="1814"/>
    <n v="329"/>
    <n v="371010"/>
    <n v="77912.100000000006"/>
    <n v="293097.90000000002"/>
    <n v="51326.3"/>
    <n v="241771.6"/>
    <n v="0.18136714443219401"/>
    <n v="161.575468578"/>
    <n v="133.28092613000001"/>
  </r>
  <r>
    <x v="24"/>
    <x v="2"/>
    <n v="571"/>
    <n v="78"/>
    <n v="108910"/>
    <n v="22871.1"/>
    <n v="86038.9"/>
    <n v="11589.3"/>
    <n v="74449.600000000006"/>
    <n v="0.13660245183887909"/>
    <n v="150.681085814"/>
    <n v="130.38458844100001"/>
  </r>
  <r>
    <x v="24"/>
    <x v="3"/>
    <n v="429"/>
    <n v="20"/>
    <n v="89120"/>
    <n v="0"/>
    <n v="89120"/>
    <n v="4180"/>
    <n v="84940"/>
    <n v="4.6620046620046603E-2"/>
    <n v="207.73892773899999"/>
    <n v="197.995337995"/>
  </r>
  <r>
    <x v="25"/>
    <x v="4"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n v="38684"/>
    <n v="6923"/>
    <n v="7687810"/>
    <n v="1614440.1"/>
    <n v="6073369.9000000004"/>
    <n v="1085049.2"/>
    <x v="0"/>
    <n v="0.178962878709544"/>
    <n v="0.57918210199999998"/>
    <n v="0.55575638500000002"/>
    <n v="156.999532106"/>
    <n v="128.95048857399999"/>
  </r>
  <r>
    <x v="1"/>
    <n v="9555"/>
    <n v="397"/>
    <n v="1889540"/>
    <n v="0"/>
    <n v="1889540"/>
    <n v="79850"/>
    <x v="1"/>
    <n v="4.1548927263212902E-2"/>
    <n v="0.18019448299999999"/>
    <n v="0.201620311"/>
    <n v="197.75405546799999"/>
    <n v="189.39717425399999"/>
  </r>
  <r>
    <x v="2"/>
    <n v="12852"/>
    <n v="1718"/>
    <n v="2541120"/>
    <n v="533635.19999999995"/>
    <n v="2007484.8"/>
    <n v="272889.7"/>
    <x v="2"/>
    <n v="0.1336756924992219"/>
    <n v="0.19144219500000001"/>
    <n v="0.19325387399999999"/>
    <n v="156.20018674100001"/>
    <n v="134.96693899799999"/>
  </r>
  <r>
    <x v="3"/>
    <n v="3300"/>
    <n v="476"/>
    <n v="652810"/>
    <n v="137090.1"/>
    <n v="515719.9"/>
    <n v="72593.100000000006"/>
    <x v="3"/>
    <n v="0.1442424242424242"/>
    <n v="4.9181218999999998E-2"/>
    <n v="4.9369429999999999E-2"/>
    <n v="156.278757576"/>
    <n v="134.2808484850000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x v="0"/>
    <x v="0"/>
    <n v="3"/>
    <n v="3"/>
    <n v="387.1"/>
    <n v="387.1"/>
    <n v="0"/>
    <n v="1"/>
  </r>
  <r>
    <x v="0"/>
    <x v="1"/>
    <n v="139"/>
    <n v="25"/>
    <n v="20769.099999999999"/>
    <n v="4068.5"/>
    <n v="16700.599999999999"/>
    <n v="0.17985611510791361"/>
  </r>
  <r>
    <x v="0"/>
    <x v="2"/>
    <n v="41"/>
    <n v="8"/>
    <n v="7505"/>
    <n v="1516.8"/>
    <n v="5988.2"/>
    <n v="0.1951219512195122"/>
  </r>
  <r>
    <x v="0"/>
    <x v="3"/>
    <n v="44"/>
    <n v="1"/>
    <n v="9500"/>
    <n v="150"/>
    <n v="9350"/>
    <n v="2.27272727272727E-2"/>
  </r>
  <r>
    <x v="1"/>
    <x v="0"/>
    <n v="98"/>
    <n v="9"/>
    <n v="14670.3"/>
    <n v="1287.7"/>
    <n v="13382.6"/>
    <n v="9.18367346938775E-2"/>
  </r>
  <r>
    <x v="1"/>
    <x v="1"/>
    <n v="1416"/>
    <n v="259"/>
    <n v="214658.8"/>
    <n v="41103.699999999997"/>
    <n v="173555.1"/>
    <n v="0.18290960451977401"/>
  </r>
  <r>
    <x v="1"/>
    <x v="2"/>
    <n v="498"/>
    <n v="64"/>
    <n v="81259.399999999994"/>
    <n v="12877"/>
    <n v="68382.399999999994"/>
    <n v="0.1285140562248995"/>
  </r>
  <r>
    <x v="1"/>
    <x v="3"/>
    <n v="349"/>
    <n v="8"/>
    <n v="69000"/>
    <n v="1630"/>
    <n v="67370"/>
    <n v="2.2922636103151799E-2"/>
  </r>
  <r>
    <x v="2"/>
    <x v="0"/>
    <n v="109"/>
    <n v="16"/>
    <n v="19568.3"/>
    <n v="2678.1"/>
    <n v="16890.2"/>
    <n v="0.146788990825688"/>
  </r>
  <r>
    <x v="2"/>
    <x v="1"/>
    <n v="1394"/>
    <n v="239"/>
    <n v="220599.6"/>
    <n v="36371.599999999999"/>
    <n v="184228"/>
    <n v="0.1714490674318507"/>
  </r>
  <r>
    <x v="2"/>
    <x v="2"/>
    <n v="391"/>
    <n v="60"/>
    <n v="63176.3"/>
    <n v="9179.7999999999993"/>
    <n v="53996.5"/>
    <n v="0.15345268542199481"/>
  </r>
  <r>
    <x v="2"/>
    <x v="3"/>
    <n v="318"/>
    <n v="12"/>
    <n v="63530"/>
    <n v="2870"/>
    <n v="60660"/>
    <n v="3.7735849056603703E-2"/>
  </r>
  <r>
    <x v="3"/>
    <x v="0"/>
    <n v="118"/>
    <n v="16"/>
    <n v="19268.099999999999"/>
    <n v="3160"/>
    <n v="16108.1"/>
    <n v="0.13559322033898299"/>
  </r>
  <r>
    <x v="3"/>
    <x v="1"/>
    <n v="1349"/>
    <n v="253"/>
    <n v="212233.5"/>
    <n v="39302.5"/>
    <n v="172931"/>
    <n v="0.18754633061527051"/>
  </r>
  <r>
    <x v="3"/>
    <x v="2"/>
    <n v="391"/>
    <n v="54"/>
    <n v="60553.5"/>
    <n v="7694.6"/>
    <n v="52858.9"/>
    <n v="0.1381074168797953"/>
  </r>
  <r>
    <x v="3"/>
    <x v="3"/>
    <n v="354"/>
    <n v="18"/>
    <n v="69420"/>
    <n v="3940"/>
    <n v="65480"/>
    <n v="5.0847457627118599E-2"/>
  </r>
  <r>
    <x v="4"/>
    <x v="0"/>
    <n v="108"/>
    <n v="15"/>
    <n v="13690.7"/>
    <n v="2038.2"/>
    <n v="11652.5"/>
    <n v="0.1388888888888889"/>
  </r>
  <r>
    <x v="4"/>
    <x v="1"/>
    <n v="1320"/>
    <n v="239"/>
    <n v="207043.20000000001"/>
    <n v="39120.800000000003"/>
    <n v="167922.4"/>
    <n v="0.18106060606060601"/>
  </r>
  <r>
    <x v="4"/>
    <x v="2"/>
    <n v="444"/>
    <n v="62"/>
    <n v="71834.7"/>
    <n v="10088.299999999999"/>
    <n v="61746.400000000001"/>
    <n v="0.1396396396396396"/>
  </r>
  <r>
    <x v="4"/>
    <x v="3"/>
    <n v="338"/>
    <n v="7"/>
    <n v="64300"/>
    <n v="1260"/>
    <n v="63040"/>
    <n v="2.07100591715976E-2"/>
  </r>
  <r>
    <x v="5"/>
    <x v="0"/>
    <n v="127"/>
    <n v="20"/>
    <n v="17767.099999999999"/>
    <n v="2891.4"/>
    <n v="14875.7"/>
    <n v="0.15748031496062989"/>
  </r>
  <r>
    <x v="5"/>
    <x v="1"/>
    <n v="1484"/>
    <n v="291"/>
    <n v="229344.9"/>
    <n v="46997.1"/>
    <n v="182347.8"/>
    <n v="0.1960916442048517"/>
  </r>
  <r>
    <x v="5"/>
    <x v="2"/>
    <n v="530"/>
    <n v="77"/>
    <n v="77301.5"/>
    <n v="10641.3"/>
    <n v="66660.2"/>
    <n v="0.1452830188679245"/>
  </r>
  <r>
    <x v="5"/>
    <x v="3"/>
    <n v="390"/>
    <n v="15"/>
    <n v="83230"/>
    <n v="3670"/>
    <n v="79560"/>
    <n v="3.8461538461538401E-2"/>
  </r>
  <r>
    <x v="6"/>
    <x v="0"/>
    <n v="171"/>
    <n v="30"/>
    <n v="31181.3"/>
    <n v="5079.7"/>
    <n v="26101.599999999999"/>
    <n v="0.175438596491228"/>
  </r>
  <r>
    <x v="6"/>
    <x v="1"/>
    <n v="1818"/>
    <n v="293"/>
    <n v="287481"/>
    <n v="46436.2"/>
    <n v="241044.8"/>
    <n v="0.16116611661166111"/>
  </r>
  <r>
    <x v="6"/>
    <x v="2"/>
    <n v="620"/>
    <n v="81"/>
    <n v="95210.8"/>
    <n v="13588"/>
    <n v="81622.8"/>
    <n v="0.1306451612903225"/>
  </r>
  <r>
    <x v="6"/>
    <x v="3"/>
    <n v="439"/>
    <n v="18"/>
    <n v="88230"/>
    <n v="3150"/>
    <n v="85080"/>
    <n v="4.1002277904327998E-2"/>
  </r>
  <r>
    <x v="7"/>
    <x v="0"/>
    <n v="181"/>
    <n v="33"/>
    <n v="28724.400000000001"/>
    <n v="5135"/>
    <n v="23589.4"/>
    <n v="0.1823204419889502"/>
  </r>
  <r>
    <x v="7"/>
    <x v="1"/>
    <n v="1997"/>
    <n v="342"/>
    <n v="309656.3"/>
    <n v="54265.1"/>
    <n v="255391.2"/>
    <n v="0.17125688532799199"/>
  </r>
  <r>
    <x v="7"/>
    <x v="2"/>
    <n v="737"/>
    <n v="65"/>
    <n v="112851.5"/>
    <n v="9638"/>
    <n v="103213.5"/>
    <n v="8.8195386702849293E-2"/>
  </r>
  <r>
    <x v="7"/>
    <x v="3"/>
    <n v="517"/>
    <n v="24"/>
    <n v="99340"/>
    <n v="5290"/>
    <n v="94050"/>
    <n v="4.6421663442939999E-2"/>
  </r>
  <r>
    <x v="8"/>
    <x v="0"/>
    <n v="96"/>
    <n v="10"/>
    <n v="13840.8"/>
    <n v="1279.8"/>
    <n v="12561"/>
    <n v="0.1041666666666666"/>
  </r>
  <r>
    <x v="8"/>
    <x v="1"/>
    <n v="1179"/>
    <n v="217"/>
    <n v="186021.3"/>
    <n v="35320.9"/>
    <n v="150700.4"/>
    <n v="0.18405428329092449"/>
  </r>
  <r>
    <x v="8"/>
    <x v="2"/>
    <n v="427"/>
    <n v="49"/>
    <n v="64227"/>
    <n v="7031"/>
    <n v="57196"/>
    <n v="0.1147540983606557"/>
  </r>
  <r>
    <x v="8"/>
    <x v="3"/>
    <n v="314"/>
    <n v="21"/>
    <n v="61810"/>
    <n v="4480"/>
    <n v="57330"/>
    <n v="6.6878980891719703E-2"/>
  </r>
  <r>
    <x v="9"/>
    <x v="0"/>
    <n v="98"/>
    <n v="15"/>
    <n v="15634.1"/>
    <n v="2196.1999999999998"/>
    <n v="13437.9"/>
    <n v="0.15306122448979589"/>
  </r>
  <r>
    <x v="9"/>
    <x v="1"/>
    <n v="1034"/>
    <n v="194"/>
    <n v="168586"/>
    <n v="29941"/>
    <n v="138645"/>
    <n v="0.18762088974854929"/>
  </r>
  <r>
    <x v="9"/>
    <x v="2"/>
    <n v="331"/>
    <n v="28"/>
    <n v="51895.1"/>
    <n v="4819"/>
    <n v="47076.1"/>
    <n v="8.4592145015105702E-2"/>
  </r>
  <r>
    <x v="9"/>
    <x v="3"/>
    <n v="256"/>
    <n v="15"/>
    <n v="50380"/>
    <n v="3180"/>
    <n v="47200"/>
    <n v="5.859375E-2"/>
  </r>
  <r>
    <x v="10"/>
    <x v="0"/>
    <n v="103"/>
    <n v="11"/>
    <n v="15152.2"/>
    <n v="1303.5"/>
    <n v="13848.7"/>
    <n v="0.10679611650485429"/>
  </r>
  <r>
    <x v="10"/>
    <x v="1"/>
    <n v="1412"/>
    <n v="252"/>
    <n v="218482.4"/>
    <n v="40361.1"/>
    <n v="178121.3"/>
    <n v="0.17847025495750701"/>
  </r>
  <r>
    <x v="10"/>
    <x v="2"/>
    <n v="488"/>
    <n v="61"/>
    <n v="78526"/>
    <n v="11470.8"/>
    <n v="67055.199999999997"/>
    <n v="0.125"/>
  </r>
  <r>
    <x v="10"/>
    <x v="3"/>
    <n v="364"/>
    <n v="18"/>
    <n v="71610"/>
    <n v="4520"/>
    <n v="67090"/>
    <n v="4.94505494505494E-2"/>
  </r>
  <r>
    <x v="11"/>
    <x v="0"/>
    <n v="148"/>
    <n v="19"/>
    <n v="20255.599999999999"/>
    <n v="3041.5"/>
    <n v="17214.099999999999"/>
    <n v="0.12837837837837829"/>
  </r>
  <r>
    <x v="11"/>
    <x v="1"/>
    <n v="1500"/>
    <n v="286"/>
    <n v="229921.6"/>
    <n v="42636.3"/>
    <n v="187285.3"/>
    <n v="0.1906666666666666"/>
  </r>
  <r>
    <x v="11"/>
    <x v="2"/>
    <n v="484"/>
    <n v="76"/>
    <n v="74038.8"/>
    <n v="11778.9"/>
    <n v="62259.9"/>
    <n v="0.1570247933884297"/>
  </r>
  <r>
    <x v="11"/>
    <x v="3"/>
    <n v="374"/>
    <n v="17"/>
    <n v="70780"/>
    <n v="4150"/>
    <n v="66630"/>
    <n v="4.54545454545454E-2"/>
  </r>
  <r>
    <x v="12"/>
    <x v="0"/>
    <n v="161"/>
    <n v="26"/>
    <n v="24837.599999999999"/>
    <n v="3673.5"/>
    <n v="21164.1"/>
    <n v="0.16149068322981361"/>
  </r>
  <r>
    <x v="12"/>
    <x v="1"/>
    <n v="1623"/>
    <n v="270"/>
    <n v="251141"/>
    <n v="44769.3"/>
    <n v="206371.7"/>
    <n v="0.166358595194085"/>
  </r>
  <r>
    <x v="12"/>
    <x v="2"/>
    <n v="514"/>
    <n v="69"/>
    <n v="75642.5"/>
    <n v="10206.799999999999"/>
    <n v="65435.7"/>
    <n v="0.13424124513618671"/>
  </r>
  <r>
    <x v="12"/>
    <x v="3"/>
    <n v="380"/>
    <n v="18"/>
    <n v="73050"/>
    <n v="4100"/>
    <n v="68950"/>
    <n v="4.7368421052631497E-2"/>
  </r>
  <r>
    <x v="13"/>
    <x v="0"/>
    <n v="151"/>
    <n v="23"/>
    <n v="22894.2"/>
    <n v="2701.8"/>
    <n v="20192.400000000001"/>
    <n v="0.15231788079470199"/>
  </r>
  <r>
    <x v="13"/>
    <x v="1"/>
    <n v="1603"/>
    <n v="289"/>
    <n v="258093"/>
    <n v="42699.5"/>
    <n v="215393.5"/>
    <n v="0.1802869619463506"/>
  </r>
  <r>
    <x v="13"/>
    <x v="2"/>
    <n v="606"/>
    <n v="79"/>
    <n v="101451.8"/>
    <n v="13430"/>
    <n v="88021.8"/>
    <n v="0.1303630363036303"/>
  </r>
  <r>
    <x v="13"/>
    <x v="3"/>
    <n v="445"/>
    <n v="17"/>
    <n v="88340"/>
    <n v="2720"/>
    <n v="85620"/>
    <n v="3.8202247191011202E-2"/>
  </r>
  <r>
    <x v="14"/>
    <x v="0"/>
    <n v="145"/>
    <n v="19"/>
    <n v="21764.5"/>
    <n v="2717.6"/>
    <n v="19046.900000000001"/>
    <n v="0.1310344827586207"/>
  </r>
  <r>
    <x v="14"/>
    <x v="1"/>
    <n v="1654"/>
    <n v="315"/>
    <n v="259112.1"/>
    <n v="51626.5"/>
    <n v="207485.6"/>
    <n v="0.1904474002418379"/>
  </r>
  <r>
    <x v="14"/>
    <x v="2"/>
    <n v="486"/>
    <n v="88"/>
    <n v="74520.7"/>
    <n v="12197.6"/>
    <n v="62323.1"/>
    <n v="0.18106995884773661"/>
  </r>
  <r>
    <x v="14"/>
    <x v="3"/>
    <n v="437"/>
    <n v="18"/>
    <n v="85750"/>
    <n v="2810"/>
    <n v="82940"/>
    <n v="4.1189931350114402E-2"/>
  </r>
  <r>
    <x v="15"/>
    <x v="0"/>
    <n v="110"/>
    <n v="12"/>
    <n v="16455.7"/>
    <n v="1390.4"/>
    <n v="15065.3"/>
    <n v="0.109090909090909"/>
  </r>
  <r>
    <x v="15"/>
    <x v="1"/>
    <n v="1538"/>
    <n v="271"/>
    <n v="234716.9"/>
    <n v="43110.3"/>
    <n v="191606.6"/>
    <n v="0.1762028608582574"/>
  </r>
  <r>
    <x v="15"/>
    <x v="2"/>
    <n v="542"/>
    <n v="53"/>
    <n v="83811.100000000006"/>
    <n v="7915.8"/>
    <n v="75895.3"/>
    <n v="9.7785977859778495E-2"/>
  </r>
  <r>
    <x v="15"/>
    <x v="3"/>
    <n v="367"/>
    <n v="7"/>
    <n v="71360"/>
    <n v="2030"/>
    <n v="69330"/>
    <n v="1.9073569482288801E-2"/>
  </r>
  <r>
    <x v="16"/>
    <x v="0"/>
    <n v="141"/>
    <n v="20"/>
    <n v="23723.7"/>
    <n v="2425.3000000000002"/>
    <n v="21298.400000000001"/>
    <n v="0.1418439716312056"/>
  </r>
  <r>
    <x v="16"/>
    <x v="1"/>
    <n v="1658"/>
    <n v="298"/>
    <n v="255170"/>
    <n v="44437.5"/>
    <n v="210732.5"/>
    <n v="0.17973462002412541"/>
  </r>
  <r>
    <x v="16"/>
    <x v="2"/>
    <n v="519"/>
    <n v="70"/>
    <n v="79837.399999999994"/>
    <n v="11597.2"/>
    <n v="68240.2"/>
    <n v="0.13487475915221581"/>
  </r>
  <r>
    <x v="16"/>
    <x v="3"/>
    <n v="371"/>
    <n v="20"/>
    <n v="72550"/>
    <n v="2700"/>
    <n v="69850"/>
    <n v="5.3908355795148202E-2"/>
  </r>
  <r>
    <x v="17"/>
    <x v="0"/>
    <n v="129"/>
    <n v="21"/>
    <n v="21867.200000000001"/>
    <n v="2930.9"/>
    <n v="18936.3"/>
    <n v="0.16279069767441859"/>
  </r>
  <r>
    <x v="17"/>
    <x v="1"/>
    <n v="1748"/>
    <n v="323"/>
    <n v="268718.5"/>
    <n v="47747.6"/>
    <n v="220970.9"/>
    <n v="0.18478260869565211"/>
  </r>
  <r>
    <x v="17"/>
    <x v="2"/>
    <n v="557"/>
    <n v="82"/>
    <n v="86386.5"/>
    <n v="11936.9"/>
    <n v="74449.600000000006"/>
    <n v="0.14721723518850979"/>
  </r>
  <r>
    <x v="17"/>
    <x v="3"/>
    <n v="394"/>
    <n v="20"/>
    <n v="78860"/>
    <n v="3870"/>
    <n v="74990"/>
    <n v="5.0761421319796898E-2"/>
  </r>
  <r>
    <x v="18"/>
    <x v="0"/>
    <n v="193"/>
    <n v="27"/>
    <n v="32018.7"/>
    <n v="5040.2"/>
    <n v="26978.5"/>
    <n v="0.13989637305699479"/>
  </r>
  <r>
    <x v="18"/>
    <x v="1"/>
    <n v="2142"/>
    <n v="380"/>
    <n v="331333.90000000002"/>
    <n v="53396.1"/>
    <n v="277937.8"/>
    <n v="0.1774042950513538"/>
  </r>
  <r>
    <x v="18"/>
    <x v="2"/>
    <n v="790"/>
    <n v="118"/>
    <n v="129259.8"/>
    <n v="17893.5"/>
    <n v="111366.3"/>
    <n v="0.1493670886075949"/>
  </r>
  <r>
    <x v="18"/>
    <x v="3"/>
    <n v="483"/>
    <n v="25"/>
    <n v="98630"/>
    <n v="4970"/>
    <n v="93660"/>
    <n v="5.1759834368530003E-2"/>
  </r>
  <r>
    <x v="19"/>
    <x v="0"/>
    <n v="187"/>
    <n v="18"/>
    <n v="27476.2"/>
    <n v="3049.4"/>
    <n v="24426.799999999999"/>
    <n v="9.6256684491978606E-2"/>
  </r>
  <r>
    <x v="19"/>
    <x v="1"/>
    <n v="2475"/>
    <n v="445"/>
    <n v="396264"/>
    <n v="71629.3"/>
    <n v="324634.7"/>
    <n v="0.17979797979797971"/>
  </r>
  <r>
    <x v="19"/>
    <x v="2"/>
    <n v="830"/>
    <n v="103"/>
    <n v="128217"/>
    <n v="16566.3"/>
    <n v="111650.7"/>
    <n v="0.12409638554216861"/>
  </r>
  <r>
    <x v="19"/>
    <x v="3"/>
    <n v="629"/>
    <n v="23"/>
    <n v="118870"/>
    <n v="3470"/>
    <n v="115400"/>
    <n v="3.6565977742448297E-2"/>
  </r>
  <r>
    <x v="20"/>
    <x v="0"/>
    <n v="134"/>
    <n v="26"/>
    <n v="22388.6"/>
    <n v="5214"/>
    <n v="17174.599999999999"/>
    <n v="0.19402985074626861"/>
  </r>
  <r>
    <x v="20"/>
    <x v="1"/>
    <n v="1502"/>
    <n v="267"/>
    <n v="237355.5"/>
    <n v="41190.6"/>
    <n v="196164.9"/>
    <n v="0.177762982689747"/>
  </r>
  <r>
    <x v="20"/>
    <x v="2"/>
    <n v="466"/>
    <n v="69"/>
    <n v="72300.800000000003"/>
    <n v="11162.7"/>
    <n v="61138.1"/>
    <n v="0.14806866952789699"/>
  </r>
  <r>
    <x v="20"/>
    <x v="3"/>
    <n v="361"/>
    <n v="12"/>
    <n v="70890"/>
    <n v="2360"/>
    <n v="68530"/>
    <n v="3.3240997229916899E-2"/>
  </r>
  <r>
    <x v="21"/>
    <x v="0"/>
    <n v="90"/>
    <n v="18"/>
    <n v="13990.9"/>
    <n v="2899.3"/>
    <n v="11091.6"/>
    <n v="0.2"/>
  </r>
  <r>
    <x v="21"/>
    <x v="1"/>
    <n v="1293"/>
    <n v="211"/>
    <n v="194284.7"/>
    <n v="31473.599999999999"/>
    <n v="162811.1"/>
    <n v="0.1631863882443928"/>
  </r>
  <r>
    <x v="21"/>
    <x v="2"/>
    <n v="452"/>
    <n v="65"/>
    <n v="69433.100000000006"/>
    <n v="11391.8"/>
    <n v="58041.3"/>
    <n v="0.14380530973451319"/>
  </r>
  <r>
    <x v="21"/>
    <x v="3"/>
    <n v="295"/>
    <n v="11"/>
    <n v="56530"/>
    <n v="1480"/>
    <n v="55050"/>
    <n v="3.7288135593220299E-2"/>
  </r>
  <r>
    <x v="22"/>
    <x v="0"/>
    <n v="165"/>
    <n v="19"/>
    <n v="24964"/>
    <n v="3167.9"/>
    <n v="21796.1"/>
    <n v="0.1151515151515151"/>
  </r>
  <r>
    <x v="22"/>
    <x v="1"/>
    <n v="1781"/>
    <n v="313"/>
    <n v="288831.90000000002"/>
    <n v="52092.6"/>
    <n v="236739.3"/>
    <n v="0.1757439640651319"/>
  </r>
  <r>
    <x v="22"/>
    <x v="2"/>
    <n v="522"/>
    <n v="72"/>
    <n v="82231.100000000006"/>
    <n v="12711.1"/>
    <n v="69520"/>
    <n v="0.13793103448275859"/>
  </r>
  <r>
    <x v="22"/>
    <x v="3"/>
    <n v="424"/>
    <n v="13"/>
    <n v="86330"/>
    <n v="2430"/>
    <n v="83900"/>
    <n v="3.06603773584905E-2"/>
  </r>
  <r>
    <x v="23"/>
    <x v="0"/>
    <n v="163"/>
    <n v="24"/>
    <n v="25240.5"/>
    <n v="2875.6"/>
    <n v="22364.9"/>
    <n v="0.14723926380368099"/>
  </r>
  <r>
    <x v="23"/>
    <x v="1"/>
    <n v="1811"/>
    <n v="322"/>
    <n v="300452.8"/>
    <n v="53625.2"/>
    <n v="246827.6"/>
    <n v="0.1778023191606847"/>
  </r>
  <r>
    <x v="23"/>
    <x v="2"/>
    <n v="615"/>
    <n v="87"/>
    <n v="99974.5"/>
    <n v="13967.2"/>
    <n v="86007.3"/>
    <n v="0.1414634146341463"/>
  </r>
  <r>
    <x v="23"/>
    <x v="3"/>
    <n v="483"/>
    <n v="19"/>
    <n v="98130"/>
    <n v="4440"/>
    <n v="93690"/>
    <n v="3.9337474120082802E-2"/>
  </r>
  <r>
    <x v="24"/>
    <x v="0"/>
    <n v="171"/>
    <n v="26"/>
    <n v="27958.1"/>
    <n v="4029"/>
    <n v="23929.1"/>
    <n v="0.1520467836257309"/>
  </r>
  <r>
    <x v="24"/>
    <x v="1"/>
    <n v="1814"/>
    <n v="329"/>
    <n v="293097.90000000002"/>
    <n v="51326.3"/>
    <n v="241771.6"/>
    <n v="0.18136714443219401"/>
  </r>
  <r>
    <x v="24"/>
    <x v="2"/>
    <n v="571"/>
    <n v="78"/>
    <n v="86038.9"/>
    <n v="11589.3"/>
    <n v="74449.600000000006"/>
    <n v="0.13660245183887909"/>
  </r>
  <r>
    <x v="24"/>
    <x v="3"/>
    <n v="429"/>
    <n v="20"/>
    <n v="89120"/>
    <n v="4180"/>
    <n v="84940"/>
    <n v="4.6620046620046603E-2"/>
  </r>
  <r>
    <x v="25"/>
    <x v="4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n v="1837770"/>
    <n v="1759350"/>
    <n v="749896.18"/>
    <n v="61557.51"/>
    <n v="2811.14"/>
    <n v="945085.17"/>
    <n v="0.53717859999999995"/>
  </r>
  <r>
    <x v="1"/>
    <n v="504636.2"/>
    <n v="432856.8"/>
    <n v="233296.51"/>
    <n v="21104.36"/>
    <n v="3243.97"/>
    <n v="175211.96"/>
    <n v="0.40478042600000003"/>
  </r>
  <r>
    <x v="2"/>
    <n v="1956798.4"/>
    <n v="1688577.6"/>
    <n v="910056.87"/>
    <n v="82937.5"/>
    <n v="12717.54"/>
    <n v="682865.69"/>
    <n v="0.40440290699999998"/>
  </r>
  <r>
    <x v="3"/>
    <n v="5920117.7999999998"/>
    <n v="4865072.8"/>
    <n v="2616606.77"/>
    <n v="249881.24"/>
    <n v="49662.7"/>
    <n v="1948922.09"/>
    <n v="0.40059464099999997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x v="0"/>
    <n v="3021173.2"/>
    <n v="2584272"/>
    <n v="1321340.42"/>
    <n v="59651.89"/>
    <n v="10139.450000000001"/>
    <n v="1193140.24"/>
    <n v="0.46169297999999998"/>
  </r>
  <r>
    <x v="1"/>
    <n v="1318851.7"/>
    <n v="1136271.6000000001"/>
    <n v="561309.14"/>
    <n v="46434.31"/>
    <n v="6923.27"/>
    <n v="521604.88"/>
    <n v="0.45904947400000001"/>
  </r>
  <r>
    <x v="2"/>
    <n v="1775312"/>
    <n v="1511209.3"/>
    <n v="766295.89"/>
    <n v="74798.990000000005"/>
    <n v="12446.15"/>
    <n v="657668.27"/>
    <n v="0.435193371"/>
  </r>
  <r>
    <x v="3"/>
    <n v="1715433.5"/>
    <n v="1468859.5"/>
    <n v="794084.06"/>
    <n v="52504.73"/>
    <n v="8478.92"/>
    <n v="613791.79"/>
    <n v="0.41786963999999999"/>
  </r>
  <r>
    <x v="4"/>
    <n v="859908.1"/>
    <n v="732266.6"/>
    <n v="377899.51"/>
    <n v="53064.67"/>
    <n v="8643.0499999999993"/>
    <n v="292659.37"/>
    <n v="0.39966232200000001"/>
  </r>
  <r>
    <x v="5"/>
    <n v="697238.4"/>
    <n v="604053.30000000005"/>
    <n v="324949.21000000002"/>
    <n v="45093.54"/>
    <n v="7099.51"/>
    <n v="226911.04"/>
    <n v="0.375647381"/>
  </r>
  <r>
    <x v="6"/>
    <n v="473084.9"/>
    <n v="403351"/>
    <n v="208198.79"/>
    <n v="39278.29"/>
    <n v="6686.19"/>
    <n v="149187.73000000001"/>
    <n v="0.36987073300000001"/>
  </r>
  <r>
    <x v="7"/>
    <n v="358320.6"/>
    <n v="305573.90000000002"/>
    <n v="155779.31"/>
    <n v="44654.19"/>
    <n v="8018.81"/>
    <n v="97121.59"/>
    <n v="0.31783339500000002"/>
  </r>
  <r>
    <x v="8"/>
    <m/>
    <m/>
    <m/>
    <m/>
    <m/>
    <m/>
    <m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n v="1837770"/>
    <n v="1759350"/>
    <n v="749896.18"/>
    <n v="61557.51"/>
    <n v="2811.14"/>
    <n v="945085.17"/>
    <n v="0.53717859999999995"/>
  </r>
  <r>
    <x v="1"/>
    <n v="504636.2"/>
    <n v="432856.8"/>
    <n v="233296.51"/>
    <n v="21104.36"/>
    <n v="3243.97"/>
    <n v="175211.96"/>
    <n v="0.40478042600000003"/>
  </r>
  <r>
    <x v="2"/>
    <n v="1956798.4"/>
    <n v="1688577.6"/>
    <n v="910056.87"/>
    <n v="82937.5"/>
    <n v="12717.54"/>
    <n v="682865.69"/>
    <n v="0.40440290699999998"/>
  </r>
  <r>
    <x v="3"/>
    <n v="5920117.7999999998"/>
    <n v="4865072.8"/>
    <n v="2616606.77"/>
    <n v="249881.24"/>
    <n v="49662.7"/>
    <n v="1948922.09"/>
    <n v="0.40059464099999997"/>
  </r>
  <r>
    <x v="4"/>
    <m/>
    <m/>
    <m/>
    <m/>
    <m/>
    <m/>
    <m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x v="0"/>
    <s v="Sienna Leading Accessorie 5815"/>
    <s v="Accessories"/>
    <n v="8144.1"/>
    <n v="6720.6"/>
    <n v="4419.62"/>
    <n v="2075.4299999999998"/>
    <n v="414.83"/>
    <n v="-189.28"/>
    <n v="-2.8164152000000001E-2"/>
    <n v="333"/>
    <n v="59"/>
    <n v="0.17717717717717718"/>
  </r>
  <r>
    <x v="1"/>
    <s v="SlateBlue Expensive Accessorie 1829"/>
    <s v="Accessories"/>
    <n v="7865.7"/>
    <n v="6383.7"/>
    <n v="4085.1"/>
    <n v="1931.28"/>
    <n v="442.76"/>
    <n v="-75.44"/>
    <n v="-1.1817598E-2"/>
    <n v="317"/>
    <n v="62"/>
    <n v="0.19558359621451105"/>
  </r>
  <r>
    <x v="2"/>
    <s v="Navy Positive Accessorie 6130"/>
    <s v="Accessories"/>
    <n v="7602"/>
    <n v="6535.5"/>
    <n v="4179.07"/>
    <n v="2047.49"/>
    <n v="375.96"/>
    <n v="-67.02"/>
    <n v="-1.0254762000000001E-2"/>
    <n v="308"/>
    <n v="45"/>
    <n v="0.1461038961038961"/>
  </r>
  <r>
    <x v="3"/>
    <s v="CornflowerBlue Strange Accessorie 2061"/>
    <s v="Accessories"/>
    <n v="8353.7999999999993"/>
    <n v="7227.3"/>
    <n v="4424.59"/>
    <n v="2398.08"/>
    <n v="396.56"/>
    <n v="8.07"/>
    <n v="1.1165999999999999E-3"/>
    <n v="336"/>
    <n v="47"/>
    <n v="0.13988095238095238"/>
  </r>
  <r>
    <x v="4"/>
    <s v="SlateBlue Consistent Accessorie 5413"/>
    <s v="Accessories"/>
    <n v="8103"/>
    <n v="6804.3"/>
    <n v="3667.48"/>
    <n v="2105.94"/>
    <n v="402.19"/>
    <n v="628.69000000000005"/>
    <n v="9.2395985E-2"/>
    <n v="331"/>
    <n v="54"/>
    <n v="0.16314199395770393"/>
  </r>
  <r>
    <x v="5"/>
    <s v="BurlyWood Electronic Accessorie 5164"/>
    <s v="Accessories"/>
    <n v="12746.5"/>
    <n v="10740"/>
    <n v="7010.46"/>
    <n v="2194.7600000000002"/>
    <n v="405.94"/>
    <n v="1128.8399999999999"/>
    <n v="0.105106145"/>
    <n v="311"/>
    <n v="50"/>
    <n v="0.16077170418006431"/>
  </r>
  <r>
    <x v="6"/>
    <s v="DimGray Positive Accessorie 1563"/>
    <s v="Accessories"/>
    <n v="12125"/>
    <n v="10692.5"/>
    <n v="6822.06"/>
    <n v="1924.41"/>
    <n v="228"/>
    <n v="1718.03"/>
    <n v="0.160676175"/>
    <n v="295"/>
    <n v="36"/>
    <n v="0.12203389830508475"/>
  </r>
  <r>
    <x v="7"/>
    <s v="GoldenRod Gross Accessorie 9596"/>
    <s v="Accessories"/>
    <n v="13091.5"/>
    <n v="10829.5"/>
    <n v="6398.79"/>
    <n v="1945"/>
    <n v="430.48"/>
    <n v="2055.23"/>
    <n v="0.189780692"/>
    <n v="320"/>
    <n v="57"/>
    <n v="0.17812500000000001"/>
  </r>
  <r>
    <x v="8"/>
    <s v="LavenderBlush Obvious Accessorie 3880"/>
    <s v="Accessories"/>
    <n v="8358.9"/>
    <n v="6840.6"/>
    <n v="2782.78"/>
    <n v="2255.54"/>
    <n v="466.38"/>
    <n v="1335.9"/>
    <n v="0.195289887"/>
    <n v="341"/>
    <n v="63"/>
    <n v="0.18475073313782991"/>
  </r>
  <r>
    <x v="9"/>
    <s v="Gray Unusual Accessorie 4249"/>
    <s v="Accessories"/>
    <n v="8104.5"/>
    <n v="6587.7"/>
    <n v="2633.4"/>
    <n v="2194.29"/>
    <n v="444.71"/>
    <n v="1315.3"/>
    <n v="0.19965997199999999"/>
    <n v="330"/>
    <n v="64"/>
    <n v="0.19393939393939394"/>
  </r>
  <r>
    <x v="10"/>
    <s v="DarkGreen Financial Top 7051"/>
    <s v="Tops"/>
    <n v="20870.400000000001"/>
    <n v="16665.599999999999"/>
    <n v="10788.12"/>
    <n v="2076.0500000000002"/>
    <n v="471.49"/>
    <n v="3329.94"/>
    <n v="0.199809188"/>
    <n v="318"/>
    <n v="66"/>
    <n v="0.20754716981132076"/>
  </r>
  <r>
    <x v="11"/>
    <s v="MediumSlateBlue Various Bag 5407"/>
    <s v="Bags"/>
    <n v="25946"/>
    <n v="22628"/>
    <n v="15119.5"/>
    <n v="2225.1"/>
    <n v="350.77"/>
    <n v="4932.63"/>
    <n v="0.21798789099999999"/>
    <n v="317"/>
    <n v="42"/>
    <n v="0.13249211356466878"/>
  </r>
  <r>
    <x v="12"/>
    <s v="WhiteSmoke Friendly Swimwear 8987"/>
    <s v="Swimwear"/>
    <n v="19214.400000000001"/>
    <n v="17744"/>
    <n v="11741.08"/>
    <n v="1904.28"/>
    <n v="185.37"/>
    <n v="3913.27"/>
    <n v="0.22054046399999999"/>
    <n v="291"/>
    <n v="23"/>
    <n v="7.903780068728522E-2"/>
  </r>
  <r>
    <x v="13"/>
    <s v="CadetBlue Sick Bottom 8633"/>
    <s v="Bottoms"/>
    <n v="16066.8"/>
    <n v="13968.6"/>
    <n v="8107.95"/>
    <n v="2158.7800000000002"/>
    <n v="261.37"/>
    <n v="3440.5"/>
    <n v="0.24630242099999999"/>
    <n v="327"/>
    <n v="44"/>
    <n v="0.13455657492354739"/>
  </r>
  <r>
    <x v="14"/>
    <s v="LightYellow Amazing Bag 2460"/>
    <s v="Bags"/>
    <n v="24287"/>
    <n v="19563"/>
    <n v="12250.53"/>
    <n v="2014.77"/>
    <n v="422.97"/>
    <n v="4874.7299999999996"/>
    <n v="0.24918110700000001"/>
    <n v="296"/>
    <n v="59"/>
    <n v="0.19932432432432431"/>
  </r>
  <r>
    <x v="15"/>
    <s v="MediumSlateBlue Critical Dresse 4221"/>
    <s v="Dresses"/>
    <n v="23868"/>
    <n v="21076.2"/>
    <n v="13363.65"/>
    <n v="2090.2600000000002"/>
    <n v="354.78"/>
    <n v="5267.51"/>
    <n v="0.24992693199999999"/>
    <n v="324"/>
    <n v="39"/>
    <n v="0.12037037037037036"/>
  </r>
  <r>
    <x v="16"/>
    <s v="Cyan Reasonable Top 1332"/>
    <s v="Tops"/>
    <n v="20777.599999999999"/>
    <n v="17963.2"/>
    <n v="11084"/>
    <n v="2046.12"/>
    <n v="323.70999999999998"/>
    <n v="4509.37"/>
    <n v="0.25103377999999998"/>
    <n v="316"/>
    <n v="44"/>
    <n v="0.13924050632911392"/>
  </r>
  <r>
    <x v="17"/>
    <s v="Cyan Slow Top 1310"/>
    <s v="Tops"/>
    <n v="13612.5"/>
    <n v="11448"/>
    <n v="5608.32"/>
    <n v="2275.92"/>
    <n v="411.4"/>
    <n v="3152.36"/>
    <n v="0.27536338199999999"/>
    <n v="330"/>
    <n v="54"/>
    <n v="0.16363636363636364"/>
  </r>
  <r>
    <x v="18"/>
    <s v="DarkSalmon Adult Outerwear 6070"/>
    <s v="Outerwear"/>
    <n v="55516"/>
    <n v="46858"/>
    <n v="31377.71"/>
    <n v="2215.75"/>
    <n v="341.67"/>
    <n v="12922.87"/>
    <n v="0.27578791200000002"/>
    <n v="341"/>
    <n v="54"/>
    <n v="0.15835777126099707"/>
  </r>
  <r>
    <x v="19"/>
    <s v="Fuchsia Pretty Top 4667"/>
    <s v="Tops"/>
    <n v="12867.5"/>
    <n v="11630"/>
    <n v="6271.28"/>
    <n v="1942.94"/>
    <n v="180.81"/>
    <n v="3234.97"/>
    <n v="0.27815735200000002"/>
    <n v="313"/>
    <n v="30"/>
    <n v="9.5846645367412137E-2"/>
  </r>
  <r>
    <x v="20"/>
    <s v="IndianRed General Swimwear 7194"/>
    <s v="Swimwear"/>
    <n v="22744.799999999999"/>
    <n v="20246.400000000001"/>
    <n v="12267.54"/>
    <n v="2031.82"/>
    <n v="289.52999999999997"/>
    <n v="5657.51"/>
    <n v="0.27943288700000002"/>
    <n v="345"/>
    <n v="39"/>
    <n v="0.11304347826086956"/>
  </r>
  <r>
    <x v="21"/>
    <s v="Indigo Late Bottom 5951"/>
    <s v="Bottoms"/>
    <n v="34653"/>
    <n v="29787"/>
    <n v="19202.88"/>
    <n v="1923.88"/>
    <n v="305.37"/>
    <n v="8354.8700000000008"/>
    <n v="0.280487125"/>
    <n v="281"/>
    <n v="40"/>
    <n v="0.14234875444839859"/>
  </r>
  <r>
    <x v="22"/>
    <s v="Lime Sharp Accessorie 2774"/>
    <s v="Accessories"/>
    <n v="24097"/>
    <n v="20105"/>
    <n v="12095.16"/>
    <n v="1952.54"/>
    <n v="361.06"/>
    <n v="5696.24"/>
    <n v="0.28332454600000001"/>
    <n v="292"/>
    <n v="50"/>
    <n v="0.17123287671232876"/>
  </r>
  <r>
    <x v="23"/>
    <s v="WhiteSmoke Silly Dresse 6667"/>
    <s v="Dresses"/>
    <n v="41205.599999999999"/>
    <n v="35442"/>
    <n v="23164.92"/>
    <n v="1862.26"/>
    <n v="326.02"/>
    <n v="10088.799999999999"/>
    <n v="0.28465662200000003"/>
    <n v="281"/>
    <n v="40"/>
    <n v="0.14234875444839859"/>
  </r>
  <r>
    <x v="24"/>
    <s v="FireBrick Mad Bottom 4888"/>
    <s v="Bottoms"/>
    <n v="28556.400000000001"/>
    <n v="24429.599999999999"/>
    <n v="15133.92"/>
    <n v="1931.72"/>
    <n v="340.14"/>
    <n v="7023.82"/>
    <n v="0.28751269000000002"/>
    <n v="289"/>
    <n v="43"/>
    <n v="0.14878892733564014"/>
  </r>
  <r>
    <x v="25"/>
    <s v="Maroon Sexual Dresse 5200"/>
    <s v="Dresses"/>
    <n v="40766.400000000001"/>
    <n v="35069.4"/>
    <n v="22921.599999999999"/>
    <n v="1768.91"/>
    <n v="269.89"/>
    <n v="10109"/>
    <n v="0.28825699900000001"/>
    <n v="271"/>
    <n v="39"/>
    <n v="0.14391143911439114"/>
  </r>
  <r>
    <x v="26"/>
    <s v="Wheat Cultural Bottom 2021"/>
    <s v="Bottoms"/>
    <n v="14866.2"/>
    <n v="12768"/>
    <n v="6617.45"/>
    <n v="2083.27"/>
    <n v="324.32"/>
    <n v="3742.96"/>
    <n v="0.29315162900000002"/>
    <n v="303"/>
    <n v="44"/>
    <n v="0.14521452145214522"/>
  </r>
  <r>
    <x v="27"/>
    <s v="Salmon Soft Top 6011"/>
    <s v="Tops"/>
    <n v="30913.200000000001"/>
    <n v="26836.799999999999"/>
    <n v="16433.21"/>
    <n v="2115.12"/>
    <n v="409.02"/>
    <n v="7879.45"/>
    <n v="0.293606168"/>
    <n v="312"/>
    <n v="43"/>
    <n v="0.13782051282051283"/>
  </r>
  <r>
    <x v="28"/>
    <s v="Yellow Able Bottom 1203"/>
    <s v="Bottoms"/>
    <n v="15706.8"/>
    <n v="13596"/>
    <n v="7099.51"/>
    <n v="2166.1"/>
    <n v="332.84"/>
    <n v="3997.55"/>
    <n v="0.29402397800000002"/>
    <n v="321"/>
    <n v="44"/>
    <n v="0.13707165109034267"/>
  </r>
  <r>
    <x v="29"/>
    <s v="Indigo Every Bottom 7436"/>
    <s v="Bottoms"/>
    <n v="38854.5"/>
    <n v="34201.5"/>
    <n v="21547.360000000001"/>
    <n v="2068.5300000000002"/>
    <n v="311.37"/>
    <n v="10274.24"/>
    <n v="0.30040319900000001"/>
    <n v="313"/>
    <n v="39"/>
    <n v="0.12460063897763578"/>
  </r>
  <r>
    <x v="30"/>
    <s v="YellowGreen Clear Bag 9214"/>
    <s v="Bags"/>
    <n v="65167.5"/>
    <n v="54292.5"/>
    <n v="35568.720000000001"/>
    <n v="2061.73"/>
    <n v="340.06"/>
    <n v="16321.99"/>
    <n v="0.300630658"/>
    <n v="318"/>
    <n v="54"/>
    <n v="0.16981132075471697"/>
  </r>
  <r>
    <x v="31"/>
    <s v="MintCream Small Dresse 8559"/>
    <s v="Dresses"/>
    <n v="28873.200000000001"/>
    <n v="23988"/>
    <n v="14615.6"/>
    <n v="1791.53"/>
    <n v="330.33"/>
    <n v="7250.54"/>
    <n v="0.30225696200000002"/>
    <n v="295"/>
    <n v="51"/>
    <n v="0.17288135593220338"/>
  </r>
  <r>
    <x v="32"/>
    <s v="DarkKhaki Wonderful Swimwear 8022"/>
    <s v="Swimwear"/>
    <n v="24329"/>
    <n v="21406"/>
    <n v="12851.58"/>
    <n v="1792.97"/>
    <n v="217.66"/>
    <n v="6543.79"/>
    <n v="0.30569886899999998"/>
    <n v="296"/>
    <n v="37"/>
    <n v="0.125"/>
  </r>
  <r>
    <x v="33"/>
    <s v="SlateBlue Friendly Top 8404"/>
    <s v="Tops"/>
    <n v="41952"/>
    <n v="35664"/>
    <n v="22209.65"/>
    <n v="2134.7399999999998"/>
    <n v="351.24"/>
    <n v="10968.37"/>
    <n v="0.30754738700000001"/>
    <n v="341"/>
    <n v="52"/>
    <n v="0.15249266862170088"/>
  </r>
  <r>
    <x v="34"/>
    <s v="LightCoral Clean Bottom 1387"/>
    <s v="Bottoms"/>
    <n v="42322.5"/>
    <n v="36010.5"/>
    <n v="22333.919999999998"/>
    <n v="2169.7800000000002"/>
    <n v="388.99"/>
    <n v="11117.81"/>
    <n v="0.30873800699999998"/>
    <n v="342"/>
    <n v="53"/>
    <n v="0.15497076023391812"/>
  </r>
  <r>
    <x v="35"/>
    <s v="Black Wonderful Bottom 5524"/>
    <s v="Bottoms"/>
    <n v="30135.599999999999"/>
    <n v="25819.200000000001"/>
    <n v="15510.96"/>
    <n v="2013.9"/>
    <n v="322.67"/>
    <n v="7971.67"/>
    <n v="0.30874969000000002"/>
    <n v="303"/>
    <n v="45"/>
    <n v="0.14851485148514851"/>
  </r>
  <r>
    <x v="36"/>
    <s v="Ivory Significant Swimwear 7282"/>
    <s v="Swimwear"/>
    <n v="42268.5"/>
    <n v="36075"/>
    <n v="22379.34"/>
    <n v="2184.27"/>
    <n v="356.79"/>
    <n v="11154.6"/>
    <n v="0.30920582099999999"/>
    <n v="345"/>
    <n v="52"/>
    <n v="0.15072463768115943"/>
  </r>
  <r>
    <x v="37"/>
    <s v="HotPink Deep Swimwear 8095"/>
    <s v="Swimwear"/>
    <n v="45081"/>
    <n v="40312.800000000003"/>
    <n v="25642.02"/>
    <n v="1896.38"/>
    <n v="265.91000000000003"/>
    <n v="12508.49"/>
    <n v="0.31028581500000002"/>
    <n v="304"/>
    <n v="33"/>
    <n v="0.10855263157894737"/>
  </r>
  <r>
    <x v="38"/>
    <s v="DarkOliveGreen Several Bag 4284"/>
    <s v="Bags"/>
    <n v="106628"/>
    <n v="93188"/>
    <n v="61679.12"/>
    <n v="2302.38"/>
    <n v="236.29"/>
    <n v="28970.21"/>
    <n v="0.31087919000000003"/>
    <n v="326"/>
    <n v="42"/>
    <n v="0.12883435582822086"/>
  </r>
  <r>
    <x v="39"/>
    <s v="LightGreen Thick Dresse 6583"/>
    <s v="Dresses"/>
    <n v="53231.199999999997"/>
    <n v="45746.8"/>
    <n v="29328.78"/>
    <n v="1781.58"/>
    <n v="311.47000000000003"/>
    <n v="14324.97"/>
    <n v="0.313136001"/>
    <n v="289"/>
    <n v="42"/>
    <n v="0.1453287197231834"/>
  </r>
  <r>
    <x v="40"/>
    <s v="Chartreuse Unique Swimwear 9575"/>
    <s v="Swimwear"/>
    <n v="35056.5"/>
    <n v="31557"/>
    <n v="19275"/>
    <n v="2006.77"/>
    <n v="227.85"/>
    <n v="10047.379999999999"/>
    <n v="0.31838831299999998"/>
    <n v="286"/>
    <n v="29"/>
    <n v="0.10139860139860139"/>
  </r>
  <r>
    <x v="41"/>
    <s v="Red Leading Swimwear 4942"/>
    <s v="Swimwear"/>
    <n v="27973"/>
    <n v="23923"/>
    <n v="13724.61"/>
    <n v="2161.6"/>
    <n v="405.6"/>
    <n v="7631.19"/>
    <n v="0.31898967499999997"/>
    <n v="340"/>
    <n v="51"/>
    <n v="0.15"/>
  </r>
  <r>
    <x v="42"/>
    <s v="Chocolate Curious Dresse 4914"/>
    <s v="Dresses"/>
    <n v="34243.5"/>
    <n v="29385"/>
    <n v="17791.2"/>
    <n v="1892.26"/>
    <n v="324.23"/>
    <n v="9377.31"/>
    <n v="0.31911893800000002"/>
    <n v="281"/>
    <n v="41"/>
    <n v="0.14590747330960854"/>
  </r>
  <r>
    <x v="43"/>
    <s v="CornflowerBlue Useful Shoe 7824"/>
    <s v="Shoes"/>
    <n v="71204"/>
    <n v="64125.599999999999"/>
    <n v="41219.46"/>
    <n v="2084.21"/>
    <n v="224.47"/>
    <n v="20597.46"/>
    <n v="0.32120494799999999"/>
    <n v="311"/>
    <n v="32"/>
    <n v="0.10289389067524116"/>
  </r>
  <r>
    <x v="44"/>
    <s v="Yellow Dramatic Shoe 6921"/>
    <s v="Shoes"/>
    <n v="33753"/>
    <n v="28657.5"/>
    <n v="17409.28"/>
    <n v="1755.56"/>
    <n v="278.52999999999997"/>
    <n v="9214.1299999999992"/>
    <n v="0.32152595299999998"/>
    <n v="275"/>
    <n v="43"/>
    <n v="0.15636363636363637"/>
  </r>
  <r>
    <x v="45"/>
    <s v="Sienna According Swimwear 4746"/>
    <s v="Swimwear"/>
    <n v="45336.6"/>
    <n v="38293.199999999997"/>
    <n v="23477.759999999998"/>
    <n v="2054.65"/>
    <n v="388.71"/>
    <n v="12372.08"/>
    <n v="0.32308817200000001"/>
    <n v="305"/>
    <n v="49"/>
    <n v="0.16065573770491803"/>
  </r>
  <r>
    <x v="46"/>
    <s v="Khaki Opposite Dresse 3628"/>
    <s v="Dresses"/>
    <n v="22327.200000000001"/>
    <n v="20194.2"/>
    <n v="11281.73"/>
    <n v="2109.4899999999998"/>
    <n v="243.88"/>
    <n v="6559.1"/>
    <n v="0.32480118099999999"/>
    <n v="301"/>
    <n v="30"/>
    <n v="9.9667774086378738E-2"/>
  </r>
  <r>
    <x v="47"/>
    <s v="Cyan Informal Dresse 4105"/>
    <s v="Dresses"/>
    <n v="38167.5"/>
    <n v="32361"/>
    <n v="19663.28"/>
    <n v="1859.78"/>
    <n v="306.12"/>
    <n v="10531.82"/>
    <n v="0.325447916"/>
    <n v="308"/>
    <n v="49"/>
    <n v="0.15909090909090909"/>
  </r>
  <r>
    <x v="48"/>
    <s v="DarkKhaki External Dresse 1807"/>
    <s v="Dresses"/>
    <n v="31640.400000000001"/>
    <n v="26445.599999999999"/>
    <n v="15040.11"/>
    <n v="2323.77"/>
    <n v="356.21"/>
    <n v="8725.51"/>
    <n v="0.32994184300000001"/>
    <n v="321"/>
    <n v="54"/>
    <n v="0.16822429906542055"/>
  </r>
  <r>
    <x v="49"/>
    <s v="Salmon Flat Shoe 1677"/>
    <s v="Shoes"/>
    <n v="72310"/>
    <n v="61737.2"/>
    <n v="38935.06"/>
    <n v="2015.13"/>
    <n v="298.2"/>
    <n v="20488.810000000001"/>
    <n v="0.33187138399999999"/>
    <n v="316"/>
    <n v="47"/>
    <n v="0.14873417721518986"/>
  </r>
  <r>
    <x v="50"/>
    <s v="Lime Brief Top 4642"/>
    <s v="Tops"/>
    <n v="13757.5"/>
    <n v="11772"/>
    <n v="5144.25"/>
    <n v="2334.35"/>
    <n v="382.13"/>
    <n v="3911.27"/>
    <n v="0.33225195400000002"/>
    <n v="335"/>
    <n v="50"/>
    <n v="0.14925373134328357"/>
  </r>
  <r>
    <x v="51"/>
    <s v="HoneyDew Calm Bag 6594"/>
    <s v="Bags"/>
    <n v="38484"/>
    <n v="34068"/>
    <n v="20300.5"/>
    <n v="2160.46"/>
    <n v="273.99"/>
    <n v="11333.05"/>
    <n v="0.33265968099999998"/>
    <n v="312"/>
    <n v="37"/>
    <n v="0.11858974358974358"/>
  </r>
  <r>
    <x v="52"/>
    <s v="BurlyWood Fine Accessorie 4551"/>
    <s v="Accessories"/>
    <n v="24662.400000000001"/>
    <n v="20537.599999999999"/>
    <n v="10720.25"/>
    <n v="2514.5500000000002"/>
    <n v="439.21"/>
    <n v="6863.59"/>
    <n v="0.33419630299999997"/>
    <n v="378"/>
    <n v="65"/>
    <n v="0.17195767195767195"/>
  </r>
  <r>
    <x v="53"/>
    <s v="Silver Extra Bag 1756"/>
    <s v="Bags"/>
    <n v="75798"/>
    <n v="66729"/>
    <n v="41936.639999999999"/>
    <n v="2052.3200000000002"/>
    <n v="315.43"/>
    <n v="22424.61"/>
    <n v="0.336054939"/>
    <n v="306"/>
    <n v="38"/>
    <n v="0.12418300653594772"/>
  </r>
  <r>
    <x v="54"/>
    <s v="MediumBlue Ago Outerwear 5840"/>
    <s v="Outerwear"/>
    <n v="136354.5"/>
    <n v="115191"/>
    <n v="73417.77"/>
    <n v="2457.71"/>
    <n v="446.6"/>
    <n v="38868.92"/>
    <n v="0.337430181"/>
    <n v="370"/>
    <n v="59"/>
    <n v="0.15945945945945947"/>
  </r>
  <r>
    <x v="55"/>
    <s v="IndianRed Informal Shoe 6838"/>
    <s v="Shoes"/>
    <n v="31455.599999999999"/>
    <n v="28371.599999999999"/>
    <n v="16403.939999999999"/>
    <n v="2109.12"/>
    <n v="271.04000000000002"/>
    <n v="9587.5"/>
    <n v="0.33792595399999997"/>
    <n v="314"/>
    <n v="32"/>
    <n v="0.10191082802547771"/>
  </r>
  <r>
    <x v="56"/>
    <s v="LemonChiffon Pure Bag 3518"/>
    <s v="Bags"/>
    <n v="80823"/>
    <n v="68910"/>
    <n v="42764.74"/>
    <n v="2387.12"/>
    <n v="441.19"/>
    <n v="23316.95"/>
    <n v="0.338368161"/>
    <n v="328"/>
    <n v="50"/>
    <n v="0.1524390243902439"/>
  </r>
  <r>
    <x v="57"/>
    <s v="DarkOrchid Weak Outerwear 9585"/>
    <s v="Outerwear"/>
    <n v="78027.600000000006"/>
    <n v="67734.8"/>
    <n v="42206.6"/>
    <n v="2173.9299999999998"/>
    <n v="407.91"/>
    <n v="22946.36"/>
    <n v="0.33876766400000002"/>
    <n v="336"/>
    <n v="46"/>
    <n v="0.13690476190476192"/>
  </r>
  <r>
    <x v="58"/>
    <s v="Cyan Helpful Swimwear 5995"/>
    <s v="Swimwear"/>
    <n v="41067"/>
    <n v="35229"/>
    <n v="20550.240000000002"/>
    <n v="2203.0300000000002"/>
    <n v="342.61"/>
    <n v="12133.12"/>
    <n v="0.34440716500000002"/>
    <n v="333"/>
    <n v="49"/>
    <n v="0.14714714714714713"/>
  </r>
  <r>
    <x v="59"/>
    <s v="Yellow Actual Bottom 8262"/>
    <s v="Bottoms"/>
    <n v="22209.3"/>
    <n v="19133.099999999999"/>
    <n v="10194.24"/>
    <n v="2066.63"/>
    <n v="271"/>
    <n v="6601.23"/>
    <n v="0.34501622799999998"/>
    <n v="302"/>
    <n v="43"/>
    <n v="0.14238410596026491"/>
  </r>
  <r>
    <x v="60"/>
    <s v="Peru Exciting Bottom 1863"/>
    <s v="Bottoms"/>
    <n v="33428.400000000001"/>
    <n v="28802.400000000001"/>
    <n v="16408.2"/>
    <n v="2136.4699999999998"/>
    <n v="314.57"/>
    <n v="9943.16"/>
    <n v="0.34521984300000003"/>
    <n v="338"/>
    <n v="48"/>
    <n v="0.14201183431952663"/>
  </r>
  <r>
    <x v="61"/>
    <s v="LightSeaGreen Rough Dresse 4641"/>
    <s v="Dresses"/>
    <n v="59617.8"/>
    <n v="51576.800000000003"/>
    <n v="31262.720000000001"/>
    <n v="2151.92"/>
    <n v="314.94"/>
    <n v="17847.22"/>
    <n v="0.34603193700000001"/>
    <n v="330"/>
    <n v="46"/>
    <n v="0.1393939393939394"/>
  </r>
  <r>
    <x v="62"/>
    <s v="SpringGreen Main Swimwear 1521"/>
    <s v="Swimwear"/>
    <n v="27216"/>
    <n v="22969.200000000001"/>
    <n v="12656.83"/>
    <n v="1963.24"/>
    <n v="379.51"/>
    <n v="7969.62"/>
    <n v="0.34696985499999999"/>
    <n v="273"/>
    <n v="44"/>
    <n v="0.16117216117216118"/>
  </r>
  <r>
    <x v="63"/>
    <s v="LightSkyBlue Equal Bag 4081"/>
    <s v="Bags"/>
    <n v="101720"/>
    <n v="83540"/>
    <n v="51930.3"/>
    <n v="2200.8200000000002"/>
    <n v="383.71"/>
    <n v="29025.17"/>
    <n v="0.34744038799999999"/>
    <n v="311"/>
    <n v="57"/>
    <n v="0.18327974276527331"/>
  </r>
  <r>
    <x v="64"/>
    <s v="Peru Eastern Swimwear 3446"/>
    <s v="Swimwear"/>
    <n v="29492.400000000001"/>
    <n v="25321.200000000001"/>
    <n v="14158.13"/>
    <n v="2061.62"/>
    <n v="295.45"/>
    <n v="8806"/>
    <n v="0.34777182800000001"/>
    <n v="301"/>
    <n v="44"/>
    <n v="0.1461794019933555"/>
  </r>
  <r>
    <x v="65"/>
    <s v="Pink Fair Accessorie 3472"/>
    <s v="Accessories"/>
    <n v="13297"/>
    <n v="10885"/>
    <n v="4455.5"/>
    <n v="2166.71"/>
    <n v="455.61"/>
    <n v="3807.18"/>
    <n v="0.34976389499999999"/>
    <n v="326"/>
    <n v="60"/>
    <n v="0.18404907975460122"/>
  </r>
  <r>
    <x v="66"/>
    <s v="Pink Tough Swimwear 1275"/>
    <s v="Swimwear"/>
    <n v="25041"/>
    <n v="22197"/>
    <n v="12274.08"/>
    <n v="1884.8"/>
    <n v="270.92"/>
    <n v="7767.2"/>
    <n v="0.34992116099999998"/>
    <n v="309"/>
    <n v="36"/>
    <n v="0.11650485436893204"/>
  </r>
  <r>
    <x v="67"/>
    <s v="Gold New Top 3131"/>
    <s v="Tops"/>
    <n v="25755"/>
    <n v="22474"/>
    <n v="12381.6"/>
    <n v="1911.07"/>
    <n v="277.17"/>
    <n v="7904.16"/>
    <n v="0.35170241200000002"/>
    <n v="309"/>
    <n v="41"/>
    <n v="0.13268608414239483"/>
  </r>
  <r>
    <x v="68"/>
    <s v="Maroon Exciting Outerwear 5107"/>
    <s v="Outerwear"/>
    <n v="76188"/>
    <n v="64405.599999999999"/>
    <n v="39239.199999999997"/>
    <n v="2116.41"/>
    <n v="355.45"/>
    <n v="22694.54"/>
    <n v="0.35236904899999999"/>
    <n v="333"/>
    <n v="53"/>
    <n v="0.15915915915915915"/>
  </r>
  <r>
    <x v="69"/>
    <s v="Maroon Silly Accessorie 4863"/>
    <s v="Accessories"/>
    <n v="13768"/>
    <n v="12009"/>
    <n v="5124.51"/>
    <n v="2244.48"/>
    <n v="406.76"/>
    <n v="4233.25"/>
    <n v="0.352506453"/>
    <n v="335"/>
    <n v="44"/>
    <n v="0.13134328358208955"/>
  </r>
  <r>
    <x v="70"/>
    <s v="White Accurate Top 2779"/>
    <s v="Tops"/>
    <n v="17172"/>
    <n v="14564"/>
    <n v="7490.57"/>
    <n v="1636.85"/>
    <n v="279.64999999999998"/>
    <n v="5156.93"/>
    <n v="0.35408747600000001"/>
    <n v="264"/>
    <n v="41"/>
    <n v="0.1553030303030303"/>
  </r>
  <r>
    <x v="71"/>
    <s v="DarkMagenta Weird Top 8901"/>
    <s v="Tops"/>
    <n v="28890"/>
    <n v="23808"/>
    <n v="12533.37"/>
    <n v="2360.42"/>
    <n v="446.2"/>
    <n v="8468.01"/>
    <n v="0.35567918300000001"/>
    <n v="354"/>
    <n v="63"/>
    <n v="0.17796610169491525"/>
  </r>
  <r>
    <x v="72"/>
    <s v="BlueViolet Raw Bag 5498"/>
    <s v="Bags"/>
    <n v="106480"/>
    <n v="89564"/>
    <n v="55139.839999999997"/>
    <n v="2096.35"/>
    <n v="399.15"/>
    <n v="31928.66"/>
    <n v="0.35648988399999998"/>
    <n v="325"/>
    <n v="53"/>
    <n v="0.16307692307692306"/>
  </r>
  <r>
    <x v="73"/>
    <s v="LightYellow Worth Outerwear 9925"/>
    <s v="Outerwear"/>
    <n v="86313.5"/>
    <n v="68950"/>
    <n v="41722.230000000003"/>
    <n v="2109.41"/>
    <n v="507.93"/>
    <n v="24610.43"/>
    <n v="0.35693154500000002"/>
    <n v="301"/>
    <n v="62"/>
    <n v="0.20598006644518271"/>
  </r>
  <r>
    <x v="74"/>
    <s v="SlateGray Asleep Swimwear 7887"/>
    <s v="Swimwear"/>
    <n v="13842"/>
    <n v="11968.2"/>
    <n v="5546.4"/>
    <n v="1797.68"/>
    <n v="331.06"/>
    <n v="4293.0600000000004"/>
    <n v="0.35870556999999997"/>
    <n v="279"/>
    <n v="39"/>
    <n v="0.13978494623655913"/>
  </r>
  <r>
    <x v="75"/>
    <s v="PaleGreen Loose Swimwear 9173"/>
    <s v="Swimwear"/>
    <n v="30414"/>
    <n v="25617.599999999999"/>
    <n v="14058.42"/>
    <n v="2018.2"/>
    <n v="350.71"/>
    <n v="9190.27"/>
    <n v="0.35874828199999997"/>
    <n v="307"/>
    <n v="49"/>
    <n v="0.15960912052117263"/>
  </r>
  <r>
    <x v="76"/>
    <s v="Crimson Senior Dresse 9423"/>
    <s v="Dresses"/>
    <n v="36139.199999999997"/>
    <n v="31778.400000000001"/>
    <n v="17548.189999999999"/>
    <n v="2376.56"/>
    <n v="326.14999999999998"/>
    <n v="11527.5"/>
    <n v="0.36274639400000003"/>
    <n v="365"/>
    <n v="46"/>
    <n v="0.12602739726027398"/>
  </r>
  <r>
    <x v="77"/>
    <s v="Sienna Terrible Dresse 9631"/>
    <s v="Dresses"/>
    <n v="68636.399999999994"/>
    <n v="59612"/>
    <n v="35478.85"/>
    <n v="1994.89"/>
    <n v="266.91000000000003"/>
    <n v="21871.35"/>
    <n v="0.36689508799999998"/>
    <n v="297"/>
    <n v="40"/>
    <n v="0.13468013468013468"/>
  </r>
  <r>
    <x v="78"/>
    <s v="LightSeaGreen Consistent Shoe 7949"/>
    <s v="Shoes"/>
    <n v="31424.400000000001"/>
    <n v="26349.599999999999"/>
    <n v="14116.56"/>
    <n v="2112.5500000000002"/>
    <n v="451.41"/>
    <n v="9669.08"/>
    <n v="0.366953578"/>
    <n v="315"/>
    <n v="53"/>
    <n v="0.16825396825396827"/>
  </r>
  <r>
    <x v="79"/>
    <s v="DarkOrange Mobile Shoe 2246"/>
    <s v="Shoes"/>
    <n v="52375.4"/>
    <n v="45029.599999999999"/>
    <n v="25947.95"/>
    <n v="2125.7399999999998"/>
    <n v="290.97000000000003"/>
    <n v="16664.939999999999"/>
    <n v="0.37008856400000001"/>
    <n v="287"/>
    <n v="42"/>
    <n v="0.14634146341463414"/>
  </r>
  <r>
    <x v="80"/>
    <s v="Plum Common Dresse 5898"/>
    <s v="Dresses"/>
    <n v="44656.2"/>
    <n v="37148.400000000001"/>
    <n v="20834.55"/>
    <n v="2141.62"/>
    <n v="392.67"/>
    <n v="13779.56"/>
    <n v="0.37093279899999998"/>
    <n v="305"/>
    <n v="52"/>
    <n v="0.17049180327868851"/>
  </r>
  <r>
    <x v="81"/>
    <s v="Lime Content Bottom 1706"/>
    <s v="Bottoms"/>
    <n v="43669.8"/>
    <n v="35706.6"/>
    <n v="19964.439999999999"/>
    <n v="2043.54"/>
    <n v="432.76"/>
    <n v="13265.86"/>
    <n v="0.371524032"/>
    <n v="297"/>
    <n v="56"/>
    <n v="0.18855218855218855"/>
  </r>
  <r>
    <x v="82"/>
    <s v="DarkGoldenRod Smart Bag 6459"/>
    <s v="Bags"/>
    <n v="49848"/>
    <n v="43718"/>
    <n v="24986.85"/>
    <n v="2082.62"/>
    <n v="317.83999999999997"/>
    <n v="16330.69"/>
    <n v="0.373546137"/>
    <n v="303"/>
    <n v="38"/>
    <n v="0.1254125412541254"/>
  </r>
  <r>
    <x v="83"/>
    <s v="Peru Tall Accessorie 7725"/>
    <s v="Accessories"/>
    <n v="23111.200000000001"/>
    <n v="19332"/>
    <n v="9303.27"/>
    <n v="2285.94"/>
    <n v="496.95"/>
    <n v="7245.84"/>
    <n v="0.37481067699999998"/>
    <n v="350"/>
    <n v="59"/>
    <n v="0.16857142857142857"/>
  </r>
  <r>
    <x v="84"/>
    <s v="LightBlue Extreme Bag 8484"/>
    <s v="Bags"/>
    <n v="80523"/>
    <n v="71391"/>
    <n v="42107.3"/>
    <n v="2162.69"/>
    <n v="286.97000000000003"/>
    <n v="26834.04"/>
    <n v="0.37587427000000001"/>
    <n v="327"/>
    <n v="38"/>
    <n v="0.11620795107033639"/>
  </r>
  <r>
    <x v="85"/>
    <s v="DarkGray Adult Dresse 5203"/>
    <s v="Dresses"/>
    <n v="22370.400000000001"/>
    <n v="19611.900000000001"/>
    <n v="10201.1"/>
    <n v="1770.9"/>
    <n v="235.14"/>
    <n v="7404.76"/>
    <n v="0.37756464200000001"/>
    <n v="304"/>
    <n v="38"/>
    <n v="0.125"/>
  </r>
  <r>
    <x v="86"/>
    <s v="PaleGoldenRod Strong Accessorie 7957"/>
    <s v="Accessories"/>
    <n v="22315.200000000001"/>
    <n v="19420.8"/>
    <n v="9478.56"/>
    <n v="2241.1"/>
    <n v="339.21"/>
    <n v="7361.93"/>
    <n v="0.37907449700000001"/>
    <n v="339"/>
    <n v="45"/>
    <n v="0.13274336283185842"/>
  </r>
  <r>
    <x v="87"/>
    <s v="AliceBlue Smooth Bottom 7599"/>
    <s v="Bottoms"/>
    <n v="54843.8"/>
    <n v="45586.2"/>
    <n v="25627.08"/>
    <n v="2136.13"/>
    <n v="318.88"/>
    <n v="17504.11"/>
    <n v="0.38397826499999999"/>
    <n v="302"/>
    <n v="53"/>
    <n v="0.17549668874172186"/>
  </r>
  <r>
    <x v="88"/>
    <s v="MediumSpringGreen Visible Accessorie 7146"/>
    <s v="Accessories"/>
    <n v="25798"/>
    <n v="23344"/>
    <n v="12061.46"/>
    <n v="2069.13"/>
    <n v="240.77"/>
    <n v="8972.64"/>
    <n v="0.38436600399999998"/>
    <n v="313"/>
    <n v="30"/>
    <n v="9.5846645367412137E-2"/>
  </r>
  <r>
    <x v="89"/>
    <s v="Maroon Entire Outerwear 9656"/>
    <s v="Outerwear"/>
    <n v="46668"/>
    <n v="39158"/>
    <n v="21729.4"/>
    <n v="1935.01"/>
    <n v="381.89"/>
    <n v="15111.7"/>
    <n v="0.38591603200000002"/>
    <n v="285"/>
    <n v="47"/>
    <n v="0.1649122807017544"/>
  </r>
  <r>
    <x v="90"/>
    <s v="MediumSpringGreen Immediate Shoe 3776"/>
    <s v="Shoes"/>
    <n v="38658"/>
    <n v="34360.5"/>
    <n v="18698.28"/>
    <n v="2176.9"/>
    <n v="210.78"/>
    <n v="13274.54"/>
    <n v="0.38633139799999999"/>
    <n v="314"/>
    <n v="36"/>
    <n v="0.11464968152866242"/>
  </r>
  <r>
    <x v="91"/>
    <s v="Yellow Smart Top 1785"/>
    <s v="Tops"/>
    <n v="26773"/>
    <n v="22960"/>
    <n v="11580.8"/>
    <n v="2200.4699999999998"/>
    <n v="304.45999999999998"/>
    <n v="8874.27"/>
    <n v="0.38651001699999998"/>
    <n v="328"/>
    <n v="48"/>
    <n v="0.14634146341463414"/>
  </r>
  <r>
    <x v="92"/>
    <s v="DeepPink Valuable Bottom 2152"/>
    <s v="Bottoms"/>
    <n v="47289.599999999999"/>
    <n v="39250.800000000003"/>
    <n v="21544.959999999999"/>
    <n v="1961.9"/>
    <n v="426.66"/>
    <n v="15317.28"/>
    <n v="0.390241218"/>
    <n v="319"/>
    <n v="56"/>
    <n v="0.17554858934169279"/>
  </r>
  <r>
    <x v="93"/>
    <s v="DarkSeaGreen Sad Outerwear 9085"/>
    <s v="Outerwear"/>
    <n v="116235"/>
    <n v="101565"/>
    <n v="58734.64"/>
    <n v="2218.85"/>
    <n v="351.41"/>
    <n v="40260.1"/>
    <n v="0.39639738099999999"/>
    <n v="315"/>
    <n v="41"/>
    <n v="0.13015873015873017"/>
  </r>
  <r>
    <x v="94"/>
    <s v="Maroon International Top 1600"/>
    <s v="Tops"/>
    <n v="12897"/>
    <n v="11069.5"/>
    <n v="4256.8"/>
    <n v="2041.46"/>
    <n v="363.43"/>
    <n v="4407.8100000000004"/>
    <n v="0.398194137"/>
    <n v="318"/>
    <n v="46"/>
    <n v="0.14465408805031446"/>
  </r>
  <r>
    <x v="95"/>
    <s v="LimeGreen Sensitive Dresse 2367"/>
    <s v="Dresses"/>
    <n v="30300"/>
    <n v="26432.400000000001"/>
    <n v="13438.15"/>
    <n v="2123.67"/>
    <n v="325.54000000000002"/>
    <n v="10545.04"/>
    <n v="0.39894372099999997"/>
    <n v="305"/>
    <n v="40"/>
    <n v="0.13114754098360656"/>
  </r>
  <r>
    <x v="96"/>
    <s v="MediumOrchid Federal Top 8658"/>
    <s v="Tops"/>
    <n v="20477.599999999999"/>
    <n v="17996"/>
    <n v="8433.9599999999991"/>
    <n v="2014.29"/>
    <n v="353.39"/>
    <n v="7194.36"/>
    <n v="0.399775506"/>
    <n v="307"/>
    <n v="39"/>
    <n v="0.12703583061889251"/>
  </r>
  <r>
    <x v="97"/>
    <s v="LightGray Educational Outerwear 2129"/>
    <s v="Outerwear"/>
    <n v="92746.5"/>
    <n v="82719"/>
    <n v="47128.32"/>
    <n v="2202.8000000000002"/>
    <n v="269.38"/>
    <n v="33118.5"/>
    <n v="0.40037355400000002"/>
    <n v="324"/>
    <n v="36"/>
    <n v="0.1111111111111111"/>
  </r>
  <r>
    <x v="98"/>
    <s v="LightGreen Funny Dresse 6927"/>
    <s v="Dresses"/>
    <n v="52401.8"/>
    <n v="43885.599999999999"/>
    <n v="24036.44"/>
    <n v="1901.59"/>
    <n v="346.03"/>
    <n v="17601.54"/>
    <n v="0.40107780199999998"/>
    <n v="293"/>
    <n v="49"/>
    <n v="0.16723549488054607"/>
  </r>
  <r>
    <x v="99"/>
    <s v="Peru Special Bottom 5638"/>
    <s v="Bottoms"/>
    <n v="14244"/>
    <n v="11826.6"/>
    <n v="4899.53"/>
    <n v="1780.47"/>
    <n v="394.94"/>
    <n v="4751.66"/>
    <n v="0.40177734900000001"/>
    <n v="292"/>
    <n v="51"/>
    <n v="0.17465753424657535"/>
  </r>
  <r>
    <x v="100"/>
    <s v="SkyBlue Friendly Bag 9176"/>
    <s v="Bags"/>
    <n v="59732.5"/>
    <n v="52175"/>
    <n v="29089.83"/>
    <n v="1826.29"/>
    <n v="272.02999999999997"/>
    <n v="20986.85"/>
    <n v="0.40223957799999999"/>
    <n v="295"/>
    <n v="38"/>
    <n v="0.12881355932203389"/>
  </r>
  <r>
    <x v="101"/>
    <s v="Aqua Loud Bottom 4270"/>
    <s v="Bottoms"/>
    <n v="56546.6"/>
    <n v="47022.8"/>
    <n v="25646.03"/>
    <n v="2104.73"/>
    <n v="348.69"/>
    <n v="18923.349999999999"/>
    <n v="0.40242924699999999"/>
    <n v="311"/>
    <n v="54"/>
    <n v="0.17363344051446947"/>
  </r>
  <r>
    <x v="102"/>
    <s v="DarkGreen Actual Bag 2366"/>
    <s v="Bags"/>
    <n v="60455"/>
    <n v="51962.5"/>
    <n v="28644.66"/>
    <n v="1991.96"/>
    <n v="284.49"/>
    <n v="21041.39"/>
    <n v="0.40493413499999997"/>
    <n v="296"/>
    <n v="43"/>
    <n v="0.14527027027027026"/>
  </r>
  <r>
    <x v="103"/>
    <s v="FireBrick National Bottom 2427"/>
    <s v="Bottoms"/>
    <n v="17099.400000000001"/>
    <n v="14881.2"/>
    <n v="6335.48"/>
    <n v="2179.14"/>
    <n v="339.85"/>
    <n v="6026.73"/>
    <n v="0.40498951700000002"/>
    <n v="344"/>
    <n v="46"/>
    <n v="0.13372093023255813"/>
  </r>
  <r>
    <x v="104"/>
    <s v="Peru Lost Bag 5145"/>
    <s v="Bags"/>
    <n v="95000"/>
    <n v="80760"/>
    <n v="45573.96"/>
    <n v="2044.27"/>
    <n v="310.60000000000002"/>
    <n v="32831.17"/>
    <n v="0.40652761300000001"/>
    <n v="290"/>
    <n v="44"/>
    <n v="0.15172413793103448"/>
  </r>
  <r>
    <x v="105"/>
    <s v="DimGray Loud Swimwear 7483"/>
    <s v="Swimwear"/>
    <n v="42883.5"/>
    <n v="38017.5"/>
    <n v="19979.560000000001"/>
    <n v="2284.67"/>
    <n v="293.83999999999997"/>
    <n v="15459.43"/>
    <n v="0.406639837"/>
    <n v="347"/>
    <n v="40"/>
    <n v="0.11527377521613832"/>
  </r>
  <r>
    <x v="106"/>
    <s v="DarkKhaki Efficient Dresse 4882"/>
    <s v="Dresses"/>
    <n v="80757.600000000006"/>
    <n v="68975.199999999997"/>
    <n v="38331.74"/>
    <n v="2235.06"/>
    <n v="343.17"/>
    <n v="28065.23"/>
    <n v="0.40688870799999999"/>
    <n v="351"/>
    <n v="53"/>
    <n v="0.150997150997151"/>
  </r>
  <r>
    <x v="107"/>
    <s v="LightBlue Interesting Top 9349"/>
    <s v="Tops"/>
    <n v="18426.400000000001"/>
    <n v="15692"/>
    <n v="7057.05"/>
    <n v="1910.18"/>
    <n v="304.47000000000003"/>
    <n v="6420.3"/>
    <n v="0.40914478700000001"/>
    <n v="278"/>
    <n v="43"/>
    <n v="0.15467625899280577"/>
  </r>
  <r>
    <x v="108"/>
    <s v="DarkRed Left Top 7481"/>
    <s v="Tops"/>
    <n v="29473.200000000001"/>
    <n v="24158.400000000001"/>
    <n v="11853.1"/>
    <n v="2032.19"/>
    <n v="387.63"/>
    <n v="9885.48"/>
    <n v="0.409194318"/>
    <n v="300"/>
    <n v="55"/>
    <n v="0.18333333333333332"/>
  </r>
  <r>
    <x v="109"/>
    <s v="LawnGreen Deep Shoe 1788"/>
    <s v="Shoes"/>
    <n v="29637.599999999999"/>
    <n v="25150.799999999999"/>
    <n v="12579.84"/>
    <n v="1935.77"/>
    <n v="338.54"/>
    <n v="10296.65"/>
    <n v="0.40939651999999999"/>
    <n v="302"/>
    <n v="46"/>
    <n v="0.15231788079470199"/>
  </r>
  <r>
    <x v="110"/>
    <s v="Moccasin Pure Swimwear 7929"/>
    <s v="Swimwear"/>
    <n v="15703.8"/>
    <n v="13804.8"/>
    <n v="5744.9"/>
    <n v="2094.3200000000002"/>
    <n v="259.92"/>
    <n v="5705.66"/>
    <n v="0.413309863"/>
    <n v="322"/>
    <n v="39"/>
    <n v="0.12111801242236025"/>
  </r>
  <r>
    <x v="111"/>
    <s v="CornflowerBlue Unable Accessorie 5131"/>
    <s v="Accessories"/>
    <n v="31729.200000000001"/>
    <n v="26679.599999999999"/>
    <n v="13232.7"/>
    <n v="2074.65"/>
    <n v="337.3"/>
    <n v="11034.95"/>
    <n v="0.41361002400000002"/>
    <n v="323"/>
    <n v="53"/>
    <n v="0.16408668730650156"/>
  </r>
  <r>
    <x v="112"/>
    <s v="MistyRose Cool Bottom 2493"/>
    <s v="Bottoms"/>
    <n v="20052.900000000001"/>
    <n v="16246.8"/>
    <n v="7167.6"/>
    <n v="1968.28"/>
    <n v="366.16"/>
    <n v="6744.76"/>
    <n v="0.41514390499999998"/>
    <n v="273"/>
    <n v="53"/>
    <n v="0.19413919413919414"/>
  </r>
  <r>
    <x v="113"/>
    <s v="Brown Used Dresse 4424"/>
    <s v="Dresses"/>
    <n v="66836"/>
    <n v="59315.199999999997"/>
    <n v="32424.48"/>
    <n v="1907.06"/>
    <n v="304.60000000000002"/>
    <n v="24679.06"/>
    <n v="0.41606637099999999"/>
    <n v="287"/>
    <n v="34"/>
    <n v="0.11846689895470383"/>
  </r>
  <r>
    <x v="114"/>
    <s v="Peru Useful Dresse 4135"/>
    <s v="Dresses"/>
    <n v="68210.8"/>
    <n v="59245.2"/>
    <n v="32167.439999999999"/>
    <n v="2060.36"/>
    <n v="288.55"/>
    <n v="24728.85"/>
    <n v="0.41739837200000002"/>
    <n v="298"/>
    <n v="40"/>
    <n v="0.13422818791946309"/>
  </r>
  <r>
    <x v="115"/>
    <s v="RosyBrown Hungry Dresse 6761"/>
    <s v="Dresses"/>
    <n v="41487"/>
    <n v="35530.5"/>
    <n v="18038"/>
    <n v="2256.25"/>
    <n v="356.95"/>
    <n v="14879.3"/>
    <n v="0.41877541800000001"/>
    <n v="340"/>
    <n v="50"/>
    <n v="0.14705882352941177"/>
  </r>
  <r>
    <x v="116"/>
    <s v="LightSeaGreen Every Bag 8007"/>
    <s v="Bags"/>
    <n v="53744"/>
    <n v="46908"/>
    <n v="24748.32"/>
    <n v="2010.95"/>
    <n v="335.84"/>
    <n v="19812.89"/>
    <n v="0.42237763299999997"/>
    <n v="325"/>
    <n v="43"/>
    <n v="0.13230769230769232"/>
  </r>
  <r>
    <x v="117"/>
    <s v="LightGray Junior Outerwear 3715"/>
    <s v="Outerwear"/>
    <n v="86296"/>
    <n v="74462.5"/>
    <n v="40656.199999999997"/>
    <n v="1953.6"/>
    <n v="389.69"/>
    <n v="31463.01"/>
    <n v="0.42253496699999998"/>
    <n v="302"/>
    <n v="42"/>
    <n v="0.13907284768211919"/>
  </r>
  <r>
    <x v="118"/>
    <s v="WhiteSmoke Lonely Outerwear 7252"/>
    <s v="Outerwear"/>
    <n v="110308.5"/>
    <n v="94572"/>
    <n v="52358.35"/>
    <n v="1916.96"/>
    <n v="309.32"/>
    <n v="39987.370000000003"/>
    <n v="0.42282461999999998"/>
    <n v="297"/>
    <n v="44"/>
    <n v="0.14814814814814814"/>
  </r>
  <r>
    <x v="119"/>
    <s v="Tan Frequent Outerwear 6682"/>
    <s v="Outerwear"/>
    <n v="82239.5"/>
    <n v="74000.5"/>
    <n v="40467.22"/>
    <n v="1968.14"/>
    <n v="261.13"/>
    <n v="31304.01"/>
    <n v="0.42302430400000002"/>
    <n v="286"/>
    <n v="29"/>
    <n v="0.10139860139860139"/>
  </r>
  <r>
    <x v="120"/>
    <s v="LightBlue Neat Top 3710"/>
    <s v="Tops"/>
    <n v="36051"/>
    <n v="31398"/>
    <n v="15774.55"/>
    <n v="1971.31"/>
    <n v="358.21"/>
    <n v="13293.93"/>
    <n v="0.42340053500000002"/>
    <n v="292"/>
    <n v="39"/>
    <n v="0.13356164383561644"/>
  </r>
  <r>
    <x v="121"/>
    <s v="MediumSeaGreen Dangerous Swimwear 8352"/>
    <s v="Swimwear"/>
    <n v="27911"/>
    <n v="24119"/>
    <n v="11387.12"/>
    <n v="2131.36"/>
    <n v="366.32"/>
    <n v="10234.200000000001"/>
    <n v="0.42432107499999999"/>
    <n v="344"/>
    <n v="48"/>
    <n v="0.13953488372093023"/>
  </r>
  <r>
    <x v="122"/>
    <s v="Turquoise Few Outerwear 5452"/>
    <s v="Outerwear"/>
    <n v="120240"/>
    <n v="104148"/>
    <n v="56927.79"/>
    <n v="2350.56"/>
    <n v="312.12"/>
    <n v="44557.53"/>
    <n v="0.42782895500000001"/>
    <n v="326"/>
    <n v="45"/>
    <n v="0.13803680981595093"/>
  </r>
  <r>
    <x v="123"/>
    <s v="FloralWhite Comfortable Bottom 8843"/>
    <s v="Bottoms"/>
    <n v="47507.4"/>
    <n v="42597"/>
    <n v="21936.2"/>
    <n v="2202.0100000000002"/>
    <n v="229.39"/>
    <n v="18229.400000000001"/>
    <n v="0.42795032500000002"/>
    <n v="320"/>
    <n v="34"/>
    <n v="0.10625"/>
  </r>
  <r>
    <x v="124"/>
    <s v="LightGray Main Swimwear 3189"/>
    <s v="Swimwear"/>
    <n v="25081"/>
    <n v="20694"/>
    <n v="9291.42"/>
    <n v="2103.23"/>
    <n v="421.2"/>
    <n v="8878.15"/>
    <n v="0.429020489"/>
    <n v="301"/>
    <n v="55"/>
    <n v="0.18272425249169436"/>
  </r>
  <r>
    <x v="125"/>
    <s v="Gray Brave Swimwear 6048"/>
    <s v="Swimwear"/>
    <n v="45109.8"/>
    <n v="39061.800000000003"/>
    <n v="19985.37"/>
    <n v="2024.03"/>
    <n v="292.68"/>
    <n v="16759.72"/>
    <n v="0.42905652100000002"/>
    <n v="305"/>
    <n v="42"/>
    <n v="0.13770491803278689"/>
  </r>
  <r>
    <x v="126"/>
    <s v="Indigo Foreign Accessorie 8155"/>
    <s v="Accessories"/>
    <n v="26082"/>
    <n v="23396"/>
    <n v="11012.39"/>
    <n v="2077.9899999999998"/>
    <n v="228.12"/>
    <n v="10077.5"/>
    <n v="0.43073602300000002"/>
    <n v="315"/>
    <n v="34"/>
    <n v="0.10793650793650794"/>
  </r>
  <r>
    <x v="127"/>
    <s v="Yellow Bright Dresse 4903"/>
    <s v="Dresses"/>
    <n v="43207.5"/>
    <n v="35734.5"/>
    <n v="17481.599999999999"/>
    <n v="2284.92"/>
    <n v="488.96"/>
    <n v="15479.02"/>
    <n v="0.43316738700000001"/>
    <n v="350"/>
    <n v="62"/>
    <n v="0.17714285714285713"/>
  </r>
  <r>
    <x v="128"/>
    <s v="DarkGreen Intelligent Shoe 4977"/>
    <s v="Shoes"/>
    <n v="95585"/>
    <n v="81539.5"/>
    <n v="43636.6"/>
    <n v="2114.9"/>
    <n v="336.46"/>
    <n v="35451.54"/>
    <n v="0.43477749999999998"/>
    <n v="334"/>
    <n v="50"/>
    <n v="0.1497005988023952"/>
  </r>
  <r>
    <x v="129"/>
    <s v="CadetBlue Wonderful Outerwear 4253"/>
    <s v="Outerwear"/>
    <n v="87549"/>
    <n v="72047.5"/>
    <n v="38026.5"/>
    <n v="2110.63"/>
    <n v="423.04"/>
    <n v="31487.33"/>
    <n v="0.43703570600000002"/>
    <n v="306"/>
    <n v="55"/>
    <n v="0.17973856209150327"/>
  </r>
  <r>
    <x v="130"/>
    <s v="LightGray Proper Top 5989"/>
    <s v="Tops"/>
    <n v="38452.5"/>
    <n v="33120"/>
    <n v="16204.23"/>
    <n v="2092"/>
    <n v="333.77"/>
    <n v="14490"/>
    <n v="0.4375"/>
    <n v="312"/>
    <n v="45"/>
    <n v="0.14423076923076922"/>
  </r>
  <r>
    <x v="131"/>
    <s v="Khaki Other Outerwear 1813"/>
    <s v="Outerwear"/>
    <n v="157877.5"/>
    <n v="135921.5"/>
    <n v="73772.27"/>
    <n v="2152.25"/>
    <n v="359.51"/>
    <n v="59637.47"/>
    <n v="0.43876406600000001"/>
    <n v="349"/>
    <n v="50"/>
    <n v="0.14326647564469913"/>
  </r>
  <r>
    <x v="132"/>
    <s v="Coral Physical Outerwear 8396"/>
    <s v="Outerwear"/>
    <n v="66911.600000000006"/>
    <n v="57223.6"/>
    <n v="29958.63"/>
    <n v="1784.07"/>
    <n v="337.17"/>
    <n v="25143.73"/>
    <n v="0.43939441099999998"/>
    <n v="290"/>
    <n v="43"/>
    <n v="0.14827586206896551"/>
  </r>
  <r>
    <x v="133"/>
    <s v="Thistle Pleasant Bottom 8630"/>
    <s v="Bottoms"/>
    <n v="16737"/>
    <n v="14449.2"/>
    <n v="5537.15"/>
    <n v="2185.2600000000002"/>
    <n v="299.77999999999997"/>
    <n v="6427.01"/>
    <n v="0.44480040399999998"/>
    <n v="343"/>
    <n v="48"/>
    <n v="0.13994169096209913"/>
  </r>
  <r>
    <x v="134"/>
    <s v="LightGray Political Outerwear 8313"/>
    <s v="Outerwear"/>
    <n v="80857"/>
    <n v="70000"/>
    <n v="36648.480000000003"/>
    <n v="1799"/>
    <n v="330.88"/>
    <n v="31221.64"/>
    <n v="0.44602342900000003"/>
    <n v="281"/>
    <n v="39"/>
    <n v="0.13879003558718861"/>
  </r>
  <r>
    <x v="135"/>
    <s v="YellowGreen Recent Shoe 1808"/>
    <s v="Shoes"/>
    <n v="87493"/>
    <n v="74553.5"/>
    <n v="38668.699999999997"/>
    <n v="2084.13"/>
    <n v="386.82"/>
    <n v="33413.85"/>
    <n v="0.44818620199999998"/>
    <n v="305"/>
    <n v="46"/>
    <n v="0.15081967213114755"/>
  </r>
  <r>
    <x v="136"/>
    <s v="DeepSkyBlue Substantial Outerwear 6666"/>
    <s v="Outerwear"/>
    <n v="110547"/>
    <n v="93649.5"/>
    <n v="49316.4"/>
    <n v="1890.9"/>
    <n v="305.54000000000002"/>
    <n v="42136.66"/>
    <n v="0.44994004199999998"/>
    <n v="299"/>
    <n v="47"/>
    <n v="0.15719063545150502"/>
  </r>
  <r>
    <x v="137"/>
    <s v="AliceBlue Last Accessorie 7896"/>
    <s v="Accessories"/>
    <n v="31818"/>
    <n v="27836.400000000001"/>
    <n v="12879.33"/>
    <n v="2052.0700000000002"/>
    <n v="376.65"/>
    <n v="12528.35"/>
    <n v="0.45007077099999998"/>
    <n v="325"/>
    <n v="42"/>
    <n v="0.12923076923076923"/>
  </r>
  <r>
    <x v="138"/>
    <s v="Red Slow Shoe 8397"/>
    <s v="Shoes"/>
    <n v="53512.800000000003"/>
    <n v="46734.6"/>
    <n v="23387.7"/>
    <n v="1926.58"/>
    <n v="263.97000000000003"/>
    <n v="21156.35"/>
    <n v="0.45269136799999998"/>
    <n v="297"/>
    <n v="39"/>
    <n v="0.13131313131313133"/>
  </r>
  <r>
    <x v="139"/>
    <s v="PaleGoldenRod Past Bag 6952"/>
    <s v="Bags"/>
    <n v="53566"/>
    <n v="44318"/>
    <n v="21665.119999999999"/>
    <n v="2173.7199999999998"/>
    <n v="395.5"/>
    <n v="20083.66"/>
    <n v="0.45317162300000002"/>
    <n v="326"/>
    <n v="58"/>
    <n v="0.17791411042944785"/>
  </r>
  <r>
    <x v="140"/>
    <s v="Wheat Large Bag 2610"/>
    <s v="Bags"/>
    <n v="109472"/>
    <n v="93420"/>
    <n v="48259.05"/>
    <n v="2332.06"/>
    <n v="385.92"/>
    <n v="42442.97"/>
    <n v="0.45432423500000002"/>
    <n v="335"/>
    <n v="50"/>
    <n v="0.14925373134328357"/>
  </r>
  <r>
    <x v="141"/>
    <s v="SeaGreen Perfect Bottom 1952"/>
    <s v="Bottoms"/>
    <n v="22332.6"/>
    <n v="18578.7"/>
    <n v="7950.6"/>
    <n v="1820.53"/>
    <n v="354.16"/>
    <n v="8453.41"/>
    <n v="0.455005463"/>
    <n v="304"/>
    <n v="52"/>
    <n v="0.17105263157894737"/>
  </r>
  <r>
    <x v="142"/>
    <s v="Cornsilk Frequent Dresse 9028"/>
    <s v="Dresses"/>
    <n v="43763.4"/>
    <n v="36786.6"/>
    <n v="17712.37"/>
    <n v="1946.62"/>
    <n v="333.64"/>
    <n v="16793.97"/>
    <n v="0.45652411500000001"/>
    <n v="295"/>
    <n v="48"/>
    <n v="0.16271186440677965"/>
  </r>
  <r>
    <x v="143"/>
    <s v="DeepSkyBlue Amazing Bag 7584"/>
    <s v="Bags"/>
    <n v="69810"/>
    <n v="60678"/>
    <n v="30635.01"/>
    <n v="1899.72"/>
    <n v="348.21"/>
    <n v="27795.06"/>
    <n v="0.458074755"/>
    <n v="281"/>
    <n v="38"/>
    <n v="0.13523131672597866"/>
  </r>
  <r>
    <x v="144"/>
    <s v="DarkGoldenRod Slight Shoe 8101"/>
    <s v="Shoes"/>
    <n v="71246"/>
    <n v="61012"/>
    <n v="30703.78"/>
    <n v="2042.33"/>
    <n v="246.62"/>
    <n v="28019.27"/>
    <n v="0.45924195200000001"/>
    <n v="308"/>
    <n v="46"/>
    <n v="0.14935064935064934"/>
  </r>
  <r>
    <x v="145"/>
    <s v="LightGray Hungry Outerwear 4869"/>
    <s v="Outerwear"/>
    <n v="145222"/>
    <n v="126742"/>
    <n v="65998.8"/>
    <n v="2268.4899999999998"/>
    <n v="251.56"/>
    <n v="58223.15"/>
    <n v="0.459383235"/>
    <n v="322"/>
    <n v="42"/>
    <n v="0.13043478260869565"/>
  </r>
  <r>
    <x v="146"/>
    <s v="Peru Enough Bottom 4445"/>
    <s v="Bottoms"/>
    <n v="47534.400000000001"/>
    <n v="41344.199999999997"/>
    <n v="19963.64"/>
    <n v="1962.86"/>
    <n v="306.60000000000002"/>
    <n v="19111.099999999999"/>
    <n v="0.46224379700000001"/>
    <n v="317"/>
    <n v="43"/>
    <n v="0.13564668769716087"/>
  </r>
  <r>
    <x v="147"/>
    <s v="Cyan Clear Dresse 7922"/>
    <s v="Dresses"/>
    <n v="56595"/>
    <n v="47036"/>
    <n v="22482.2"/>
    <n v="2089.42"/>
    <n v="475.3"/>
    <n v="21989.08"/>
    <n v="0.46749468500000002"/>
    <n v="315"/>
    <n v="55"/>
    <n v="0.17460317460317459"/>
  </r>
  <r>
    <x v="148"/>
    <s v="LightGray Excellent Top 7091"/>
    <s v="Tops"/>
    <n v="24992"/>
    <n v="21121"/>
    <n v="8672.84"/>
    <n v="2139.09"/>
    <n v="409.7"/>
    <n v="9899.3700000000008"/>
    <n v="0.46869797800000002"/>
    <n v="302"/>
    <n v="49"/>
    <n v="0.16225165562913907"/>
  </r>
  <r>
    <x v="149"/>
    <s v="IndianRed Entire Bottom 6998"/>
    <s v="Bottoms"/>
    <n v="40285.5"/>
    <n v="34653"/>
    <n v="15977.66"/>
    <n v="2042.45"/>
    <n v="360.22"/>
    <n v="16272.67"/>
    <n v="0.46958906900000003"/>
    <n v="328"/>
    <n v="47"/>
    <n v="0.14329268292682926"/>
  </r>
  <r>
    <x v="150"/>
    <s v="Indigo Nasty Shoe 5506"/>
    <s v="Shoes"/>
    <n v="54588.6"/>
    <n v="48633.2"/>
    <n v="23644.74"/>
    <n v="1847.05"/>
    <n v="263.98"/>
    <n v="22877.43"/>
    <n v="0.470407664"/>
    <n v="300"/>
    <n v="34"/>
    <n v="0.11333333333333333"/>
  </r>
  <r>
    <x v="151"/>
    <s v="Bisque Tough Shoe 6386"/>
    <s v="Shoes"/>
    <n v="64446.8"/>
    <n v="55710.6"/>
    <n v="26624.61"/>
    <n v="2466.06"/>
    <n v="394.83"/>
    <n v="26225.1"/>
    <n v="0.47073806400000001"/>
    <n v="353"/>
    <n v="50"/>
    <n v="0.14164305949008499"/>
  </r>
  <r>
    <x v="152"/>
    <s v="Tan Mad Outerwear 8411"/>
    <s v="Outerwear"/>
    <n v="109458"/>
    <n v="97371"/>
    <n v="48768.09"/>
    <n v="1978"/>
    <n v="243.8"/>
    <n v="46381.11"/>
    <n v="0.47633391899999999"/>
    <n v="297"/>
    <n v="34"/>
    <n v="0.11447811447811448"/>
  </r>
  <r>
    <x v="153"/>
    <s v="LightGoldenRodYellow Visible Shoe 8057"/>
    <s v="Shoes"/>
    <n v="70319.199999999997"/>
    <n v="56207.199999999997"/>
    <n v="26727.759999999998"/>
    <n v="2165.52"/>
    <n v="448.14"/>
    <n v="26865.78"/>
    <n v="0.47797755400000003"/>
    <n v="307"/>
    <n v="63"/>
    <n v="0.20521172638436483"/>
  </r>
  <r>
    <x v="154"/>
    <s v="DimGray Yellow Dresse 7811"/>
    <s v="Dresses"/>
    <n v="25635.599999999999"/>
    <n v="21488.400000000001"/>
    <n v="8520.2000000000007"/>
    <n v="2275.9699999999998"/>
    <n v="393.91"/>
    <n v="10298.32"/>
    <n v="0.47925020000000002"/>
    <n v="347"/>
    <n v="57"/>
    <n v="0.16426512968299711"/>
  </r>
  <r>
    <x v="155"/>
    <s v="Magenta Professional Outerwear 8583"/>
    <s v="Outerwear"/>
    <n v="149187.5"/>
    <n v="127985"/>
    <n v="63455.42"/>
    <n v="2162.5300000000002"/>
    <n v="291.8"/>
    <n v="62075.25"/>
    <n v="0.48501972900000001"/>
    <n v="329"/>
    <n v="48"/>
    <n v="0.1458966565349544"/>
  </r>
  <r>
    <x v="156"/>
    <s v="Teal Ready Shoe 2243"/>
    <s v="Shoes"/>
    <n v="56768.800000000003"/>
    <n v="51288.6"/>
    <n v="23942.85"/>
    <n v="2253.3000000000002"/>
    <n v="209.75"/>
    <n v="24882.7"/>
    <n v="0.48515069599999999"/>
    <n v="316"/>
    <n v="31"/>
    <n v="9.8101265822784806E-2"/>
  </r>
  <r>
    <x v="157"/>
    <s v="SandyBrown National Swimwear 3888"/>
    <s v="Swimwear"/>
    <n v="33447.599999999999"/>
    <n v="28941.599999999999"/>
    <n v="12100.48"/>
    <n v="2367.9299999999998"/>
    <n v="425.13"/>
    <n v="14048.06"/>
    <n v="0.485393344"/>
    <n v="339"/>
    <n v="47"/>
    <n v="0.13864306784660768"/>
  </r>
  <r>
    <x v="158"/>
    <s v="Gold Flat Bottom 4971"/>
    <s v="Bottoms"/>
    <n v="29264.400000000001"/>
    <n v="24354"/>
    <n v="10211.459999999999"/>
    <n v="1938.89"/>
    <n v="354.97"/>
    <n v="11848.68"/>
    <n v="0.48651884699999998"/>
    <n v="297"/>
    <n v="51"/>
    <n v="0.17171717171717171"/>
  </r>
  <r>
    <x v="159"/>
    <s v="Ivory Hungry Top 5008"/>
    <s v="Tops"/>
    <n v="38974.5"/>
    <n v="33010.5"/>
    <n v="14421.09"/>
    <n v="2043.72"/>
    <n v="338.31"/>
    <n v="16207.38"/>
    <n v="0.49097650700000001"/>
    <n v="318"/>
    <n v="49"/>
    <n v="0.1540880503144654"/>
  </r>
  <r>
    <x v="160"/>
    <s v="Green Usual Dresse 8297"/>
    <s v="Dresses"/>
    <n v="55818.400000000001"/>
    <n v="47209.8"/>
    <n v="21464.639999999999"/>
    <n v="2135.5700000000002"/>
    <n v="317.99"/>
    <n v="23291.599999999999"/>
    <n v="0.49336366599999998"/>
    <n v="310"/>
    <n v="49"/>
    <n v="0.15806451612903225"/>
  </r>
  <r>
    <x v="161"/>
    <s v="Gold Impossible Bottom 6947"/>
    <s v="Bottoms"/>
    <n v="29289.599999999999"/>
    <n v="25782"/>
    <n v="10933"/>
    <n v="1821.39"/>
    <n v="252.09"/>
    <n v="12775.52"/>
    <n v="0.49552090599999998"/>
    <n v="297"/>
    <n v="37"/>
    <n v="0.12457912457912458"/>
  </r>
  <r>
    <x v="162"/>
    <s v="LavenderBlush Lower Dresse 8165"/>
    <s v="Dresses"/>
    <n v="54056.2"/>
    <n v="44926.2"/>
    <n v="20031.78"/>
    <n v="1936.28"/>
    <n v="385.91"/>
    <n v="22572.23"/>
    <n v="0.50242909499999999"/>
    <n v="298"/>
    <n v="52"/>
    <n v="0.17449664429530201"/>
  </r>
  <r>
    <x v="163"/>
    <s v="PaleTurquoise Visual Dresse 7702"/>
    <s v="Dresses"/>
    <n v="67561.2"/>
    <n v="56988.4"/>
    <n v="26016.51"/>
    <n v="1959.04"/>
    <n v="310.52"/>
    <n v="28702.33"/>
    <n v="0.50365214700000005"/>
    <n v="294"/>
    <n v="47"/>
    <n v="0.1598639455782313"/>
  </r>
  <r>
    <x v="164"/>
    <s v="LightSlateGray Easy Dresse 7072"/>
    <s v="Dresses"/>
    <n v="44163"/>
    <n v="38356.5"/>
    <n v="16465.68"/>
    <n v="2185.9499999999998"/>
    <n v="355.28"/>
    <n v="19349.59"/>
    <n v="0.50446703900000001"/>
    <n v="357"/>
    <n v="49"/>
    <n v="0.13725490196078433"/>
  </r>
  <r>
    <x v="165"/>
    <s v="Olive Serious Accessorie 3006"/>
    <s v="Accessories"/>
    <n v="27147.599999999999"/>
    <n v="22666.799999999999"/>
    <n v="8992.83"/>
    <n v="1902.81"/>
    <n v="329.36"/>
    <n v="11441.8"/>
    <n v="0.50478232499999998"/>
    <n v="276"/>
    <n v="47"/>
    <n v="0.17028985507246377"/>
  </r>
  <r>
    <x v="166"/>
    <s v="LightBlue Automatic Dresse 6962"/>
    <s v="Dresses"/>
    <n v="39676.5"/>
    <n v="34336.5"/>
    <n v="14262.73"/>
    <n v="2303.8000000000002"/>
    <n v="351.71"/>
    <n v="17418.259999999998"/>
    <n v="0.50728117299999997"/>
    <n v="321"/>
    <n v="44"/>
    <n v="0.13707165109034267"/>
  </r>
  <r>
    <x v="167"/>
    <s v="Aqua Immediate Bag 6665"/>
    <s v="Bags"/>
    <n v="60810"/>
    <n v="53502.5"/>
    <n v="24018.799999999999"/>
    <n v="2044.66"/>
    <n v="271.79000000000002"/>
    <n v="27167.25"/>
    <n v="0.50777533799999996"/>
    <n v="297"/>
    <n v="37"/>
    <n v="0.12457912457912458"/>
  </r>
  <r>
    <x v="168"/>
    <s v="DarkGreen National Shoe 4653"/>
    <s v="Shoes"/>
    <n v="40957.5"/>
    <n v="34282.5"/>
    <n v="14112"/>
    <n v="2323.7199999999998"/>
    <n v="404.81"/>
    <n v="17441.97"/>
    <n v="0.50877182200000004"/>
    <n v="335"/>
    <n v="55"/>
    <n v="0.16417910447761194"/>
  </r>
  <r>
    <x v="169"/>
    <s v="Azure Immediate Bag 3997"/>
    <s v="Bags"/>
    <n v="71061"/>
    <n v="59844"/>
    <n v="26910.76"/>
    <n v="1876.45"/>
    <n v="327.49"/>
    <n v="30729.3"/>
    <n v="0.51349007400000002"/>
    <n v="290"/>
    <n v="46"/>
    <n v="0.15862068965517243"/>
  </r>
  <r>
    <x v="170"/>
    <s v="MistyRose Own Outerwear 2918"/>
    <s v="Outerwear"/>
    <n v="118462.5"/>
    <n v="98982"/>
    <n v="45488.79"/>
    <n v="2086.3000000000002"/>
    <n v="386.14"/>
    <n v="51020.77"/>
    <n v="0.51545503199999998"/>
    <n v="321"/>
    <n v="54"/>
    <n v="0.16822429906542055"/>
  </r>
  <r>
    <x v="171"/>
    <s v="Olive Lost Outerwear 3564"/>
    <s v="Outerwear"/>
    <n v="107257.5"/>
    <n v="93393"/>
    <n v="42692.1"/>
    <n v="2072.94"/>
    <n v="320.57"/>
    <n v="48307.39"/>
    <n v="0.51724850899999997"/>
    <n v="294"/>
    <n v="39"/>
    <n v="0.1326530612244898"/>
  </r>
  <r>
    <x v="172"/>
    <s v="LawnGreen Entire Bag 4921"/>
    <s v="Bags"/>
    <n v="35830.5"/>
    <n v="31296"/>
    <n v="12837.16"/>
    <n v="1921.74"/>
    <n v="322.93"/>
    <n v="16214.17"/>
    <n v="0.51809081000000001"/>
    <n v="292"/>
    <n v="38"/>
    <n v="0.13013698630136986"/>
  </r>
  <r>
    <x v="173"/>
    <s v="Cornsilk Spare Dresse 1065"/>
    <s v="Dresses"/>
    <n v="78075.199999999997"/>
    <n v="65335.199999999997"/>
    <n v="28745.1"/>
    <n v="2228.42"/>
    <n v="367.12"/>
    <n v="33994.559999999998"/>
    <n v="0.52031003200000003"/>
    <n v="341"/>
    <n v="56"/>
    <n v="0.16422287390029325"/>
  </r>
  <r>
    <x v="174"/>
    <s v="DarkOrchid Objective Dresse 7255"/>
    <s v="Dresses"/>
    <n v="46445.4"/>
    <n v="39648.6"/>
    <n v="16371.7"/>
    <n v="2158.3000000000002"/>
    <n v="411.62"/>
    <n v="20706.98"/>
    <n v="0.52226257700000001"/>
    <n v="312"/>
    <n v="47"/>
    <n v="0.15064102564102563"/>
  </r>
  <r>
    <x v="175"/>
    <s v="HoneyDew Sad Dresse 4812"/>
    <s v="Dresses"/>
    <n v="58368.2"/>
    <n v="46503.6"/>
    <n v="19507.38"/>
    <n v="2201.16"/>
    <n v="440.7"/>
    <n v="24354.36"/>
    <n v="0.52370913200000002"/>
    <n v="326"/>
    <n v="68"/>
    <n v="0.20858895705521471"/>
  </r>
  <r>
    <x v="176"/>
    <s v="LightPink Sharp Dresse 2497"/>
    <s v="Dresses"/>
    <n v="78839.600000000006"/>
    <n v="68045.600000000006"/>
    <n v="29727.78"/>
    <n v="2250.4899999999998"/>
    <n v="323.26"/>
    <n v="35744.07"/>
    <n v="0.52529583099999999"/>
    <n v="341"/>
    <n v="48"/>
    <n v="0.14076246334310852"/>
  </r>
  <r>
    <x v="177"/>
    <s v="Cornsilk Large Dresse 9878"/>
    <s v="Dresses"/>
    <n v="52621.8"/>
    <n v="45148.4"/>
    <n v="18827.509999999998"/>
    <n v="1953.58"/>
    <n v="293.73"/>
    <n v="24073.58"/>
    <n v="0.53321003600000005"/>
    <n v="294"/>
    <n v="43"/>
    <n v="0.14625850340136054"/>
  </r>
  <r>
    <x v="178"/>
    <s v="YellowGreen Gross Shoe 6044"/>
    <s v="Shoes"/>
    <n v="97002.5"/>
    <n v="85169"/>
    <n v="36984.15"/>
    <n v="2226.4299999999998"/>
    <n v="283.98"/>
    <n v="45674.44"/>
    <n v="0.53628010199999998"/>
    <n v="337"/>
    <n v="42"/>
    <n v="0.12462908011869436"/>
  </r>
  <r>
    <x v="179"/>
    <s v="AliceBlue Downtown Swimwear 5467"/>
    <s v="Swimwear"/>
    <n v="37188"/>
    <n v="32503.5"/>
    <n v="12674.16"/>
    <n v="2055.06"/>
    <n v="318.16000000000003"/>
    <n v="17456.12"/>
    <n v="0.53705354800000005"/>
    <n v="300"/>
    <n v="39"/>
    <n v="0.13"/>
  </r>
  <r>
    <x v="180"/>
    <s v="Tan Double Bottom 3093"/>
    <s v="Bottoms"/>
    <n v="43234.2"/>
    <n v="36977.4"/>
    <n v="14952.07"/>
    <n v="1810.5"/>
    <n v="261.5"/>
    <n v="19953.330000000002"/>
    <n v="0.53960878800000001"/>
    <n v="295"/>
    <n v="44"/>
    <n v="0.14915254237288136"/>
  </r>
  <r>
    <x v="181"/>
    <s v="Navy Famous Swimwear 3930"/>
    <s v="Swimwear"/>
    <n v="40837.5"/>
    <n v="34051.5"/>
    <n v="13183.17"/>
    <n v="2071.63"/>
    <n v="414.58"/>
    <n v="18382.12"/>
    <n v="0.53983289999999995"/>
    <n v="330"/>
    <n v="57"/>
    <n v="0.17272727272727273"/>
  </r>
  <r>
    <x v="182"/>
    <s v="DimGray Proper Outerwear 5221"/>
    <s v="Outerwear"/>
    <n v="149594.5"/>
    <n v="129057.5"/>
    <n v="56754.559999999998"/>
    <n v="2105.16"/>
    <n v="329.71"/>
    <n v="69868.070000000007"/>
    <n v="0.54137163700000002"/>
    <n v="331"/>
    <n v="47"/>
    <n v="0.1419939577039275"/>
  </r>
  <r>
    <x v="183"/>
    <s v="MediumPurple Pregnant Shoe 2447"/>
    <s v="Shoes"/>
    <n v="38469"/>
    <n v="32805"/>
    <n v="12378.12"/>
    <n v="2189.6"/>
    <n v="334.52"/>
    <n v="17902.759999999998"/>
    <n v="0.54573266300000001"/>
    <n v="314"/>
    <n v="47"/>
    <n v="0.14968152866242038"/>
  </r>
  <r>
    <x v="184"/>
    <s v="CornflowerBlue Vast Bag 7707"/>
    <s v="Bags"/>
    <n v="52902"/>
    <n v="44876"/>
    <n v="17829.09"/>
    <n v="2163.39"/>
    <n v="379.25"/>
    <n v="24504.27"/>
    <n v="0.54604398799999998"/>
    <n v="321"/>
    <n v="50"/>
    <n v="0.1557632398753894"/>
  </r>
  <r>
    <x v="185"/>
    <s v="DarkMagenta Inevitable Bottom 7323"/>
    <s v="Bottoms"/>
    <n v="53177.4"/>
    <n v="44494.2"/>
    <n v="17096.22"/>
    <n v="2387.5300000000002"/>
    <n v="423.76"/>
    <n v="24586.69"/>
    <n v="0.55258191000000001"/>
    <n v="362"/>
    <n v="60"/>
    <n v="0.16574585635359115"/>
  </r>
  <r>
    <x v="186"/>
    <s v="LightGray Famous Shoe 2722"/>
    <s v="Shoes"/>
    <n v="38287.5"/>
    <n v="33784.5"/>
    <n v="12630.75"/>
    <n v="2175.1"/>
    <n v="298.18"/>
    <n v="18680.47"/>
    <n v="0.55293018999999999"/>
    <n v="313"/>
    <n v="38"/>
    <n v="0.12140575079872204"/>
  </r>
  <r>
    <x v="187"/>
    <s v="Khaki Useful Dresse 2130"/>
    <s v="Dresses"/>
    <n v="74256"/>
    <n v="60424"/>
    <n v="23873.439999999999"/>
    <n v="2440.89"/>
    <n v="492.69"/>
    <n v="33616.980000000003"/>
    <n v="0.55635144999999997"/>
    <n v="324"/>
    <n v="62"/>
    <n v="0.19135802469135801"/>
  </r>
  <r>
    <x v="188"/>
    <s v="SeaGreen Male Outerwear 7141"/>
    <s v="Outerwear"/>
    <n v="131290.5"/>
    <n v="110319"/>
    <n v="46544.22"/>
    <n v="2017.98"/>
    <n v="372.67"/>
    <n v="61384.13"/>
    <n v="0.55642391599999996"/>
    <n v="291"/>
    <n v="48"/>
    <n v="0.16494845360824742"/>
  </r>
  <r>
    <x v="189"/>
    <s v="LightSalmon Unable Outerwear 5523"/>
    <s v="Outerwear"/>
    <n v="97520.5"/>
    <n v="82792.5"/>
    <n v="33865.919999999998"/>
    <n v="2191.2800000000002"/>
    <n v="400.96"/>
    <n v="46334.34"/>
    <n v="0.55964417099999997"/>
    <n v="341"/>
    <n v="53"/>
    <n v="0.15542521994134897"/>
  </r>
  <r>
    <x v="190"/>
    <s v="LightSeaGreen Proper Bag 2680"/>
    <s v="Bags"/>
    <n v="103740"/>
    <n v="86360"/>
    <n v="35503"/>
    <n v="2066.56"/>
    <n v="394.42"/>
    <n v="48396.02"/>
    <n v="0.56039856399999999"/>
    <n v="315"/>
    <n v="55"/>
    <n v="0.17460317460317459"/>
  </r>
  <r>
    <x v="191"/>
    <s v="NavajoWhite All Outerwear 7829"/>
    <s v="Outerwear"/>
    <n v="98717.5"/>
    <n v="84598.5"/>
    <n v="34744.92"/>
    <n v="1950.08"/>
    <n v="350.16"/>
    <n v="47553.34"/>
    <n v="0.56210618400000001"/>
    <n v="344"/>
    <n v="50"/>
    <n v="0.14534883720930233"/>
  </r>
  <r>
    <x v="192"/>
    <s v="Wheat Firm Dresse 3469"/>
    <s v="Dresses"/>
    <n v="70492.800000000003"/>
    <n v="60421.2"/>
    <n v="23872.74"/>
    <n v="2048.86"/>
    <n v="380.23"/>
    <n v="34119.370000000003"/>
    <n v="0.56469202900000004"/>
    <n v="303"/>
    <n v="45"/>
    <n v="0.14851485148514851"/>
  </r>
  <r>
    <x v="193"/>
    <s v="Tomato Glad Bag 4049"/>
    <s v="Bags"/>
    <n v="77490"/>
    <n v="65814"/>
    <n v="26145.14"/>
    <n v="2068.1799999999998"/>
    <n v="388.47"/>
    <n v="37212.21"/>
    <n v="0.56541480499999996"/>
    <n v="315"/>
    <n v="49"/>
    <n v="0.15555555555555556"/>
  </r>
  <r>
    <x v="194"/>
    <s v="LightSeaGreen Effective Outerwear 3014"/>
    <s v="Outerwear"/>
    <n v="134161.5"/>
    <n v="113943.5"/>
    <n v="46979.839999999997"/>
    <n v="1786.04"/>
    <n v="352.76"/>
    <n v="64824.86"/>
    <n v="0.56892108799999996"/>
    <n v="300"/>
    <n v="46"/>
    <n v="0.15333333333333332"/>
  </r>
  <r>
    <x v="195"/>
    <s v="Salmon Psychological Outerwear 3146"/>
    <s v="Outerwear"/>
    <n v="112513.5"/>
    <n v="91255.5"/>
    <n v="36784.300000000003"/>
    <n v="1872.27"/>
    <n v="377.07"/>
    <n v="52221.86"/>
    <n v="0.57225986399999995"/>
    <n v="304"/>
    <n v="59"/>
    <n v="0.19407894736842105"/>
  </r>
  <r>
    <x v="196"/>
    <s v="NavajoWhite Common Bag 5090"/>
    <s v="Bags"/>
    <n v="56116"/>
    <n v="49354"/>
    <n v="18440.12"/>
    <n v="2338.42"/>
    <n v="293.61"/>
    <n v="28281.85"/>
    <n v="0.57304068600000002"/>
    <n v="344"/>
    <n v="42"/>
    <n v="0.12209302325581395"/>
  </r>
  <r>
    <x v="197"/>
    <s v="LightGreen Successful Outerwear 7221"/>
    <s v="Outerwear"/>
    <n v="76912.5"/>
    <n v="65226"/>
    <n v="25575.75"/>
    <n v="1804.84"/>
    <n v="371.61"/>
    <n v="37473.800000000003"/>
    <n v="0.57452243000000003"/>
    <n v="267"/>
    <n v="42"/>
    <n v="0.15730337078651685"/>
  </r>
  <r>
    <x v="198"/>
    <s v="DarkSeaGreen High Shoe 9785"/>
    <s v="Shoes"/>
    <n v="94293.5"/>
    <n v="78589"/>
    <n v="30464"/>
    <n v="2261.89"/>
    <n v="362.58"/>
    <n v="45500.53"/>
    <n v="0.57896817599999995"/>
    <n v="328"/>
    <n v="56"/>
    <n v="0.17073170731707318"/>
  </r>
  <r>
    <x v="199"/>
    <s v="CornflowerBlue Similar Shoe 5944"/>
    <s v="Shoes"/>
    <n v="95063.5"/>
    <n v="82180"/>
    <n v="32093.01"/>
    <n v="2042.72"/>
    <n v="324.69"/>
    <n v="47719.58"/>
    <n v="0.580671453"/>
    <n v="326"/>
    <n v="45"/>
    <n v="0.138036809815950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1CAA9E-CC90-4CF8-A5C4-595ABE06A07D}" name="TablaDinámica5" cacheId="16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rowHeaderCaption="Category">
  <location ref="J90:K98" firstHeaderRow="1" firstDataRow="1" firstDataCol="1"/>
  <pivotFields count="8">
    <pivotField axis="axisRow" showAll="0" sortType="descending">
      <items count="10">
        <item x="7"/>
        <item x="3"/>
        <item x="4"/>
        <item x="2"/>
        <item x="0"/>
        <item x="1"/>
        <item x="5"/>
        <item x="6"/>
        <item h="1"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8">
    <i>
      <x v="4"/>
    </i>
    <i>
      <x v="5"/>
    </i>
    <i>
      <x v="3"/>
    </i>
    <i>
      <x v="1"/>
    </i>
    <i>
      <x v="2"/>
    </i>
    <i>
      <x v="6"/>
    </i>
    <i>
      <x v="7"/>
    </i>
    <i>
      <x/>
    </i>
  </rowItems>
  <colItems count="1">
    <i/>
  </colItems>
  <dataFields count="1">
    <dataField name="Contribution Margin Percentage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FA0CC0-7541-4D34-8AD8-CF51032AF66D}" name="TablaDinámica3" cacheId="15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rowHeaderCaption="Channel">
  <location ref="J74:K78" firstHeaderRow="1" firstDataRow="1" firstDataCol="1"/>
  <pivotFields count="8">
    <pivotField axis="axisRow" showAll="0" sortType="descending">
      <items count="6">
        <item x="1"/>
        <item x="3"/>
        <item x="2"/>
        <item x="0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">
    <i>
      <x v="3"/>
    </i>
    <i>
      <x/>
    </i>
    <i>
      <x v="2"/>
    </i>
    <i>
      <x v="1"/>
    </i>
  </rowItems>
  <colItems count="1">
    <i/>
  </colItems>
  <dataFields count="1">
    <dataField name="Contribution Margin Percentage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06F35E-B537-4E89-AB29-FA6F4D828D51}" name="TablaDinámica4" cacheId="2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rowHeaderCaption="Channel">
  <location ref="B27:F31" firstHeaderRow="0" firstDataRow="1" firstDataCol="1"/>
  <pivotFields count="13">
    <pivotField axis="axisRow" showAll="0" sortType="descending">
      <items count="5">
        <item x="3"/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dataField="1" showAll="0">
      <items count="5">
        <item x="3"/>
        <item x="2"/>
        <item x="1"/>
        <item x="0"/>
        <item t="default"/>
      </items>
    </pivotField>
    <pivotField dataField="1" showAll="0"/>
    <pivotField showAll="0"/>
    <pivotField dataField="1" showAll="0"/>
    <pivotField showAll="0"/>
    <pivotField showAll="0"/>
  </pivotFields>
  <rowFields count="1">
    <field x="0"/>
  </rowFields>
  <rowItems count="4">
    <i>
      <x v="1"/>
    </i>
    <i>
      <x v="3"/>
    </i>
    <i>
      <x v="2"/>
    </i>
    <i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Net Sales" fld="5" baseField="0" baseItem="1"/>
    <dataField name="Realized Net Sales" fld="7" baseField="0" baseItem="0"/>
    <dataField name="Mix" fld="10" baseField="0" baseItem="0" numFmtId="164"/>
    <dataField name="Return Rate" fld="8" baseField="0" baseItem="0" numFmtId="164"/>
  </dataFields>
  <formats count="6">
    <format dxfId="15">
      <pivotArea collapsedLevelsAreSubtotals="1" fieldPosition="0">
        <references count="2">
          <reference field="4294967294" count="1" selected="0">
            <x v="3"/>
          </reference>
          <reference field="0" count="1">
            <x v="1"/>
          </reference>
        </references>
      </pivotArea>
    </format>
    <format dxfId="14">
      <pivotArea collapsedLevelsAreSubtotals="1" fieldPosition="0">
        <references count="2">
          <reference field="4294967294" count="1" selected="0">
            <x v="3"/>
          </reference>
          <reference field="0" count="1">
            <x v="1"/>
          </reference>
        </references>
      </pivotArea>
    </format>
    <format dxfId="13">
      <pivotArea collapsedLevelsAreSubtotals="1" fieldPosition="0">
        <references count="2">
          <reference field="4294967294" count="1" selected="0">
            <x v="3"/>
          </reference>
          <reference field="0" count="1">
            <x v="2"/>
          </reference>
        </references>
      </pivotArea>
    </format>
    <format dxfId="12">
      <pivotArea collapsedLevelsAreSubtotals="1" fieldPosition="0">
        <references count="2">
          <reference field="4294967294" count="1" selected="0">
            <x v="3"/>
          </reference>
          <reference field="0" count="1">
            <x v="0"/>
          </reference>
        </references>
      </pivotArea>
    </format>
    <format dxfId="11">
      <pivotArea collapsedLevelsAreSubtotals="1" fieldPosition="0">
        <references count="2">
          <reference field="4294967294" count="1" selected="0">
            <x v="3"/>
          </reference>
          <reference field="0" count="1">
            <x v="3"/>
          </reference>
        </references>
      </pivotArea>
    </format>
    <format dxfId="10">
      <pivotArea collapsedLevelsAreSubtotals="1" fieldPosition="0">
        <references count="2">
          <reference field="4294967294" count="1" selected="0">
            <x v="3"/>
          </reference>
          <reference field="0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F61F1D-6448-411F-9D3C-12F8BB17975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3:F30" firstHeaderRow="1" firstDataRow="2" firstDataCol="1"/>
  <pivotFields count="15">
    <pivotField axis="axisRow" numFmtId="14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x="2"/>
        <item x="3"/>
        <item x="4"/>
        <item sd="0" x="5"/>
        <item t="default"/>
      </items>
    </pivotField>
    <pivotField showAll="0">
      <items count="6">
        <item sd="0" x="0"/>
        <item x="1"/>
        <item x="2"/>
        <item sd="0" x="3"/>
        <item sd="0" x="4"/>
        <item t="default"/>
      </items>
    </pivotField>
  </pivotFields>
  <rowFields count="1">
    <field x="0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Suma de realized_net_sales" fld="8" baseField="0" baseItem="0"/>
  </dataFields>
  <chartFormats count="4"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B8B94B-DE4E-4717-B182-013CCD2B7621}" name="TablaDinámica5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61:D66" firstHeaderRow="0" firstDataRow="1" firstDataCol="1"/>
  <pivotFields count="13">
    <pivotField axis="axisRow"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realized_net_sales" fld="7" baseField="0" baseItem="0"/>
    <dataField name="Suma de returned_sales_value" fld="6" baseField="0" baseItem="0"/>
    <dataField name="Suma de taxes" fld="4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F26562-EE0C-4516-8D19-3FC3B60676D8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32:F59" firstHeaderRow="1" firstDataRow="2" firstDataCol="1"/>
  <pivotFields count="15"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axis="axisCol" showAll="0">
      <items count="6">
        <item x="0"/>
        <item x="1"/>
        <item x="2"/>
        <item x="3"/>
        <item h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0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Suma de return_rate" fld="9" baseField="0" baseItem="0"/>
  </dataFields>
  <chartFormats count="4">
    <chartFormat chart="3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DF9555-3DC4-4EF1-8DAB-0AFE8825DCCF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3:C29" firstHeaderRow="0" firstDataRow="1" firstDataCol="1" rowPageCount="1" colPageCount="1"/>
  <pivotFields count="11"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h="1" x="25"/>
        <item t="default"/>
      </items>
    </pivotField>
    <pivotField axis="axisPage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0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a de net_sales_at_sale" fld="4" baseField="0" baseItem="0"/>
    <dataField name="Suma de realized_net_sales" fld="6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57C55B-361B-4B99-9818-8DC1AC12D7EA}" name="TablaDinámica9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A34:E45" firstHeaderRow="0" firstDataRow="1" firstDataCol="1"/>
  <pivotFields count="13">
    <pivotField axis="axisRow" showAll="0" measureFilter="1" sortType="descending">
      <items count="201">
        <item x="173"/>
        <item x="28"/>
        <item x="66"/>
        <item x="17"/>
        <item x="16"/>
        <item x="34"/>
        <item x="62"/>
        <item x="6"/>
        <item x="94"/>
        <item x="49"/>
        <item x="81"/>
        <item x="53"/>
        <item x="91"/>
        <item x="109"/>
        <item x="48"/>
        <item x="135"/>
        <item x="131"/>
        <item x="1"/>
        <item x="60"/>
        <item x="141"/>
        <item x="26"/>
        <item x="3"/>
        <item x="97"/>
        <item x="187"/>
        <item x="92"/>
        <item x="156"/>
        <item x="79"/>
        <item x="102"/>
        <item x="95"/>
        <item x="103"/>
        <item x="183"/>
        <item x="14"/>
        <item x="112"/>
        <item x="176"/>
        <item x="140"/>
        <item x="190"/>
        <item x="186"/>
        <item x="22"/>
        <item x="70"/>
        <item x="170"/>
        <item x="165"/>
        <item x="194"/>
        <item x="180"/>
        <item x="67"/>
        <item x="195"/>
        <item x="124"/>
        <item x="64"/>
        <item x="192"/>
        <item x="65"/>
        <item x="56"/>
        <item x="171"/>
        <item x="46"/>
        <item x="120"/>
        <item x="117"/>
        <item x="90"/>
        <item x="8"/>
        <item x="157"/>
        <item x="181"/>
        <item x="169"/>
        <item x="193"/>
        <item x="63"/>
        <item x="47"/>
        <item x="114"/>
        <item x="15"/>
        <item x="9"/>
        <item x="129"/>
        <item x="101"/>
        <item x="38"/>
        <item x="113"/>
        <item x="146"/>
        <item x="52"/>
        <item x="61"/>
        <item x="50"/>
        <item x="168"/>
        <item x="19"/>
        <item x="45"/>
        <item x="175"/>
        <item x="69"/>
        <item x="145"/>
        <item x="106"/>
        <item x="24"/>
        <item x="127"/>
        <item x="42"/>
        <item x="172"/>
        <item x="41"/>
        <item x="158"/>
        <item x="128"/>
        <item x="159"/>
        <item x="196"/>
        <item x="68"/>
        <item x="111"/>
        <item x="104"/>
        <item x="5"/>
        <item x="25"/>
        <item x="85"/>
        <item x="182"/>
        <item x="11"/>
        <item x="4"/>
        <item x="122"/>
        <item x="179"/>
        <item x="72"/>
        <item x="150"/>
        <item x="189"/>
        <item x="35"/>
        <item x="99"/>
        <item x="0"/>
        <item x="54"/>
        <item x="80"/>
        <item x="199"/>
        <item x="21"/>
        <item x="130"/>
        <item x="58"/>
        <item x="27"/>
        <item x="178"/>
        <item x="125"/>
        <item x="18"/>
        <item x="2"/>
        <item x="151"/>
        <item x="82"/>
        <item x="39"/>
        <item x="51"/>
        <item x="167"/>
        <item x="136"/>
        <item x="23"/>
        <item x="119"/>
        <item x="115"/>
        <item x="55"/>
        <item x="44"/>
        <item x="98"/>
        <item x="161"/>
        <item x="139"/>
        <item x="166"/>
        <item x="149"/>
        <item x="10"/>
        <item x="164"/>
        <item x="148"/>
        <item x="188"/>
        <item x="88"/>
        <item x="20"/>
        <item x="197"/>
        <item x="118"/>
        <item x="174"/>
        <item x="36"/>
        <item x="185"/>
        <item x="29"/>
        <item x="108"/>
        <item x="105"/>
        <item x="143"/>
        <item x="87"/>
        <item x="163"/>
        <item x="184"/>
        <item x="83"/>
        <item x="154"/>
        <item x="43"/>
        <item x="191"/>
        <item x="74"/>
        <item x="137"/>
        <item x="147"/>
        <item x="110"/>
        <item x="78"/>
        <item x="86"/>
        <item x="116"/>
        <item x="32"/>
        <item x="153"/>
        <item x="37"/>
        <item x="144"/>
        <item x="126"/>
        <item x="162"/>
        <item x="59"/>
        <item x="160"/>
        <item x="134"/>
        <item x="121"/>
        <item x="132"/>
        <item x="138"/>
        <item x="33"/>
        <item x="152"/>
        <item x="84"/>
        <item x="31"/>
        <item x="155"/>
        <item x="133"/>
        <item x="13"/>
        <item x="96"/>
        <item x="123"/>
        <item x="71"/>
        <item x="12"/>
        <item x="142"/>
        <item x="93"/>
        <item x="75"/>
        <item x="100"/>
        <item x="30"/>
        <item x="107"/>
        <item x="76"/>
        <item x="40"/>
        <item x="57"/>
        <item x="7"/>
        <item x="77"/>
        <item x="89"/>
        <item x="198"/>
        <item x="177"/>
        <item x="7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</pivotFields>
  <rowFields count="1">
    <field x="0"/>
  </rowFields>
  <rowItems count="11">
    <i>
      <x v="95"/>
    </i>
    <i>
      <x v="41"/>
    </i>
    <i>
      <x v="178"/>
    </i>
    <i>
      <x v="136"/>
    </i>
    <i>
      <x v="16"/>
    </i>
    <i>
      <x v="78"/>
    </i>
    <i>
      <x v="44"/>
    </i>
    <i>
      <x v="39"/>
    </i>
    <i>
      <x v="35"/>
    </i>
    <i>
      <x v="50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a de contribution_margin" fld="8" baseField="0" baseItem="0"/>
    <dataField name="Suma de product_cogs" fld="5" baseField="0" baseItem="0"/>
    <dataField name="Suma de shipping_cost" fld="6" baseField="0" baseItem="0"/>
    <dataField name="Suma de estimated_return_cost" fld="7" baseField="0" baseItem="0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1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11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3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451893-93EF-4AB8-8C77-1D2C04FF2059}" name="TablaDinámica8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20:E31" firstHeaderRow="0" firstDataRow="1" firstDataCol="1"/>
  <pivotFields count="13">
    <pivotField axis="axisRow" showAll="0" measureFilter="1" sortType="ascending">
      <items count="201">
        <item x="173"/>
        <item x="28"/>
        <item x="66"/>
        <item x="17"/>
        <item x="16"/>
        <item x="34"/>
        <item x="62"/>
        <item x="6"/>
        <item x="94"/>
        <item x="49"/>
        <item x="81"/>
        <item x="53"/>
        <item x="91"/>
        <item x="109"/>
        <item x="48"/>
        <item x="135"/>
        <item x="131"/>
        <item x="1"/>
        <item x="60"/>
        <item x="141"/>
        <item x="26"/>
        <item x="3"/>
        <item x="97"/>
        <item x="187"/>
        <item x="92"/>
        <item x="156"/>
        <item x="79"/>
        <item x="102"/>
        <item x="95"/>
        <item x="103"/>
        <item x="183"/>
        <item x="14"/>
        <item x="112"/>
        <item x="176"/>
        <item x="140"/>
        <item x="190"/>
        <item x="186"/>
        <item x="22"/>
        <item x="70"/>
        <item x="170"/>
        <item x="165"/>
        <item x="194"/>
        <item x="180"/>
        <item x="67"/>
        <item x="195"/>
        <item x="124"/>
        <item x="64"/>
        <item x="192"/>
        <item x="65"/>
        <item x="56"/>
        <item x="171"/>
        <item x="46"/>
        <item x="120"/>
        <item x="117"/>
        <item x="90"/>
        <item x="8"/>
        <item x="157"/>
        <item x="181"/>
        <item x="169"/>
        <item x="193"/>
        <item x="63"/>
        <item x="47"/>
        <item x="114"/>
        <item x="15"/>
        <item x="9"/>
        <item x="129"/>
        <item x="101"/>
        <item x="38"/>
        <item x="113"/>
        <item x="146"/>
        <item x="52"/>
        <item x="61"/>
        <item x="50"/>
        <item x="168"/>
        <item x="19"/>
        <item x="45"/>
        <item x="175"/>
        <item x="69"/>
        <item x="145"/>
        <item x="106"/>
        <item x="24"/>
        <item x="127"/>
        <item x="42"/>
        <item x="172"/>
        <item x="41"/>
        <item x="158"/>
        <item x="128"/>
        <item x="159"/>
        <item x="196"/>
        <item x="68"/>
        <item x="111"/>
        <item x="104"/>
        <item x="5"/>
        <item x="25"/>
        <item x="85"/>
        <item x="182"/>
        <item x="11"/>
        <item x="4"/>
        <item x="122"/>
        <item x="179"/>
        <item x="72"/>
        <item x="150"/>
        <item x="189"/>
        <item x="35"/>
        <item x="99"/>
        <item x="0"/>
        <item x="54"/>
        <item x="80"/>
        <item x="199"/>
        <item x="21"/>
        <item x="130"/>
        <item x="58"/>
        <item x="27"/>
        <item x="178"/>
        <item x="125"/>
        <item x="18"/>
        <item x="2"/>
        <item x="151"/>
        <item x="82"/>
        <item x="39"/>
        <item x="51"/>
        <item x="167"/>
        <item x="136"/>
        <item x="23"/>
        <item x="119"/>
        <item x="115"/>
        <item x="55"/>
        <item x="44"/>
        <item x="98"/>
        <item x="161"/>
        <item x="139"/>
        <item x="166"/>
        <item x="149"/>
        <item x="10"/>
        <item x="164"/>
        <item x="148"/>
        <item x="188"/>
        <item x="88"/>
        <item x="20"/>
        <item x="197"/>
        <item x="118"/>
        <item x="174"/>
        <item x="36"/>
        <item x="185"/>
        <item x="29"/>
        <item x="108"/>
        <item x="105"/>
        <item x="143"/>
        <item x="87"/>
        <item x="163"/>
        <item x="184"/>
        <item x="83"/>
        <item x="154"/>
        <item x="43"/>
        <item x="191"/>
        <item x="74"/>
        <item x="137"/>
        <item x="147"/>
        <item x="110"/>
        <item x="78"/>
        <item x="86"/>
        <item x="116"/>
        <item x="32"/>
        <item x="153"/>
        <item x="37"/>
        <item x="144"/>
        <item x="126"/>
        <item x="162"/>
        <item x="59"/>
        <item x="160"/>
        <item x="134"/>
        <item x="121"/>
        <item x="132"/>
        <item x="138"/>
        <item x="33"/>
        <item x="152"/>
        <item x="84"/>
        <item x="31"/>
        <item x="155"/>
        <item x="133"/>
        <item x="13"/>
        <item x="96"/>
        <item x="123"/>
        <item x="71"/>
        <item x="12"/>
        <item x="142"/>
        <item x="93"/>
        <item x="75"/>
        <item x="100"/>
        <item x="30"/>
        <item x="107"/>
        <item x="76"/>
        <item x="40"/>
        <item x="57"/>
        <item x="7"/>
        <item x="77"/>
        <item x="89"/>
        <item x="198"/>
        <item x="177"/>
        <item x="7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</pivotFields>
  <rowFields count="1">
    <field x="0"/>
  </rowFields>
  <rowItems count="11">
    <i>
      <x v="105"/>
    </i>
    <i>
      <x v="17"/>
    </i>
    <i>
      <x v="116"/>
    </i>
    <i>
      <x v="21"/>
    </i>
    <i>
      <x v="97"/>
    </i>
    <i>
      <x v="92"/>
    </i>
    <i>
      <x v="64"/>
    </i>
    <i>
      <x v="55"/>
    </i>
    <i>
      <x v="7"/>
    </i>
    <i>
      <x v="19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a de contribution_margin" fld="8" baseField="0" baseItem="0"/>
    <dataField name="Suma de product_cogs" fld="5" baseField="0" baseItem="0"/>
    <dataField name="Suma de shipping_cost" fld="6" baseField="0" baseItem="0"/>
    <dataField name="Suma de estimated_return_cost" fld="7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1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4" iMeasureFld="0">
      <autoFilter ref="A1">
        <filterColumn colId="0">
          <top10 top="0"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146022-634F-4280-889D-B5F82BD36A90}" name="TablaDinámica2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A9:E18" firstHeaderRow="0" firstDataRow="1" firstDataCol="1"/>
  <pivotFields count="8">
    <pivotField axis="axisRow" showAll="0">
      <items count="10">
        <item x="7"/>
        <item x="3"/>
        <item x="4"/>
        <item x="2"/>
        <item x="0"/>
        <item x="1"/>
        <item x="5"/>
        <item x="6"/>
        <item h="1" x="8"/>
        <item t="default"/>
      </items>
    </pivotField>
    <pivotField showAll="0"/>
    <pivotField showAll="0"/>
    <pivotField dataField="1" showAll="0"/>
    <pivotField dataField="1" showAll="0"/>
    <pivotField dataField="1" showAll="0"/>
    <pivotField dataField="1" showAll="0"/>
    <pivotField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a de contribution_margin" fld="6" baseField="0" baseItem="0"/>
    <dataField name="Suma de product_cogs" fld="3" baseField="0" baseItem="0"/>
    <dataField name="Suma de shipping_cost" fld="4" baseField="0" baseItem="0"/>
    <dataField name="Suma de estimated_return_cost" fld="5" baseField="0" baseItem="0"/>
  </dataFields>
  <chartFormats count="4">
    <chartFormat chart="7" format="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1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7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63573A-C771-4907-87DA-8DB16DBC85E8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E6" firstHeaderRow="0" firstDataRow="1" firstDataCol="1"/>
  <pivotFields count="8"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dataField="1" showAll="0"/>
    <pivotField dataField="1" showAll="0"/>
    <pivotField dataField="1" showAll="0"/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a de contribution_margin" fld="6" baseField="0" baseItem="0"/>
    <dataField name="Suma de product_cogs" fld="3" baseField="0" baseItem="0"/>
    <dataField name="Suma de shipping_cost" fld="4" baseField="0" baseItem="0"/>
    <dataField name="Suma de estimated_return_cost" fld="5" baseField="0" baseItem="0"/>
  </dataFields>
  <chartFormats count="4">
    <chartFormat chart="3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12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F9549597-75BB-4861-A9A1-6CE93DCB8BDE}" autoFormatId="16" applyNumberFormats="0" applyBorderFormats="0" applyFontFormats="0" applyPatternFormats="0" applyAlignmentFormats="0" applyWidthHeightFormats="0">
  <queryTableRefresh nextId="13">
    <queryTableFields count="12">
      <queryTableField id="1" name="year_month" tableColumnId="1"/>
      <queryTableField id="2" name="channel" tableColumnId="2"/>
      <queryTableField id="3" name="units_sold" tableColumnId="3"/>
      <queryTableField id="4" name="units_returned" tableColumnId="4"/>
      <queryTableField id="5" name="gross_sales" tableColumnId="5"/>
      <queryTableField id="6" name="taxes" tableColumnId="6"/>
      <queryTableField id="7" name="net_sales" tableColumnId="7"/>
      <queryTableField id="8" name="returned_sales_value" tableColumnId="8"/>
      <queryTableField id="9" name="realized_net_sales" tableColumnId="9"/>
      <queryTableField id="10" name="return_rate" tableColumnId="10"/>
      <queryTableField id="11" name="net_sales_per_unit" tableColumnId="11"/>
      <queryTableField id="12" name="realized_net_sales_per_unit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EAFB3974-02BE-4253-AAF3-5234882C1B8F}" autoFormatId="16" applyNumberFormats="0" applyBorderFormats="0" applyFontFormats="0" applyPatternFormats="0" applyAlignmentFormats="0" applyWidthHeightFormats="0">
  <queryTableRefresh nextId="14">
    <queryTableFields count="13">
      <queryTableField id="1" name="channel" tableColumnId="1"/>
      <queryTableField id="2" name="units_sold" tableColumnId="2"/>
      <queryTableField id="3" name="units_returned" tableColumnId="3"/>
      <queryTableField id="4" name="gross_sales" tableColumnId="4"/>
      <queryTableField id="5" name="taxes" tableColumnId="5"/>
      <queryTableField id="6" name="net_sales" tableColumnId="6"/>
      <queryTableField id="7" name="returned_sales_value" tableColumnId="7"/>
      <queryTableField id="8" name="realized_net_sales" tableColumnId="8"/>
      <queryTableField id="9" name="return_rate" tableColumnId="9"/>
      <queryTableField id="10" name="net_sales_mix" tableColumnId="10"/>
      <queryTableField id="11" name="realized_sales_mix" tableColumnId="11"/>
      <queryTableField id="12" name="net_sales_per_unit" tableColumnId="12"/>
      <queryTableField id="13" name="realized_net_sales_per_unit" tableColumnId="1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CCF8C1A0-E783-4F47-8D20-A9729258299F}" autoFormatId="16" applyNumberFormats="0" applyBorderFormats="0" applyFontFormats="0" applyPatternFormats="0" applyAlignmentFormats="0" applyWidthHeightFormats="0">
  <queryTableRefresh nextId="9">
    <queryTableFields count="8">
      <queryTableField id="1" name="year_month" tableColumnId="1"/>
      <queryTableField id="2" name="channel" tableColumnId="2"/>
      <queryTableField id="3" name="units_sold" tableColumnId="3"/>
      <queryTableField id="4" name="units_returned" tableColumnId="4"/>
      <queryTableField id="5" name="net_sales_at_sale" tableColumnId="5"/>
      <queryTableField id="6" name="returned_sales_value" tableColumnId="6"/>
      <queryTableField id="7" name="realized_net_sales" tableColumnId="7"/>
      <queryTableField id="8" name="return_rate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B5B7950D-48FF-4D13-BED1-F31CA8F9AE2A}" autoFormatId="16" applyNumberFormats="0" applyBorderFormats="0" applyFontFormats="0" applyPatternFormats="0" applyAlignmentFormats="0" applyWidthHeightFormats="0">
  <queryTableRefresh nextId="9">
    <queryTableFields count="8">
      <queryTableField id="1" name="channel" tableColumnId="1"/>
      <queryTableField id="2" name="net_sales" tableColumnId="2"/>
      <queryTableField id="3" name="realized_net_sales" tableColumnId="3"/>
      <queryTableField id="4" name="product_cogs" tableColumnId="4"/>
      <queryTableField id="5" name="shipping_cost" tableColumnId="5"/>
      <queryTableField id="6" name="estimated_return_cost" tableColumnId="6"/>
      <queryTableField id="7" name="contribution_margin" tableColumnId="7"/>
      <queryTableField id="8" name="contribution_margin_pct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5" xr16:uid="{3EC2A1B3-36D3-429E-8681-699088E69A98}" autoFormatId="16" applyNumberFormats="0" applyBorderFormats="0" applyFontFormats="0" applyPatternFormats="0" applyAlignmentFormats="0" applyWidthHeightFormats="0">
  <queryTableRefresh nextId="9">
    <queryTableFields count="8">
      <queryTableField id="1" name="category" tableColumnId="1"/>
      <queryTableField id="2" name="net_sales" tableColumnId="2"/>
      <queryTableField id="3" name="realized_net_sales" tableColumnId="3"/>
      <queryTableField id="4" name="product_cogs" tableColumnId="4"/>
      <queryTableField id="5" name="shipping_cost" tableColumnId="5"/>
      <queryTableField id="6" name="estimated_return_cost" tableColumnId="6"/>
      <queryTableField id="7" name="contribution_margin" tableColumnId="7"/>
      <queryTableField id="8" name="contribution_margin_pct" tableColumnId="8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6" xr16:uid="{F487220C-CAB4-4558-A663-A5A17D898F9B}" autoFormatId="16" applyNumberFormats="0" applyBorderFormats="0" applyFontFormats="0" applyPatternFormats="0" applyAlignmentFormats="0" applyWidthHeightFormats="0">
  <queryTableRefresh nextId="14">
    <queryTableFields count="13">
      <queryTableField id="1" name="sku" tableColumnId="1"/>
      <queryTableField id="2" name="name" tableColumnId="2"/>
      <queryTableField id="3" name="category" tableColumnId="3"/>
      <queryTableField id="4" name="net_sales" tableColumnId="4"/>
      <queryTableField id="5" name="realized_net_sales" tableColumnId="5"/>
      <queryTableField id="6" name="product_cogs" tableColumnId="6"/>
      <queryTableField id="7" name="shipping_cost" tableColumnId="7"/>
      <queryTableField id="8" name="estimated_return_cost" tableColumnId="8"/>
      <queryTableField id="9" name="contribution_margin" tableColumnId="9"/>
      <queryTableField id="10" name="contribution_margin_pct" tableColumnId="10"/>
      <queryTableField id="11" name="units_sold" tableColumnId="11"/>
      <queryTableField id="12" name="units_returned" tableColumnId="12"/>
      <queryTableField id="13" name="return_rate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D1DF29-43D9-4FC0-851A-CBCBEFB67DD6}" name="export_1A_excel" displayName="export_1A_excel" ref="A1:L101" tableType="queryTable" totalsRowShown="0">
  <autoFilter ref="A1:L101" xr:uid="{D7D1DF29-43D9-4FC0-851A-CBCBEFB67DD6}"/>
  <tableColumns count="12">
    <tableColumn id="1" xr3:uid="{273D6AA7-BAD8-4D7C-8EAB-36A784C2D339}" uniqueName="1" name="year_month" queryTableFieldId="1" dataDxfId="9"/>
    <tableColumn id="2" xr3:uid="{47C33CDD-49F5-4A3D-9F47-D2502351CEFB}" uniqueName="2" name="channel" queryTableFieldId="2" dataDxfId="8"/>
    <tableColumn id="3" xr3:uid="{B87A567D-F60D-42B6-AC56-E74C60DFA159}" uniqueName="3" name="units_sold" queryTableFieldId="3"/>
    <tableColumn id="4" xr3:uid="{8DF86A92-97A1-4FF0-B9B2-703DD50C4D21}" uniqueName="4" name="units_returned" queryTableFieldId="4"/>
    <tableColumn id="5" xr3:uid="{0740E1AB-A498-42FD-8F5B-0B1C41454191}" uniqueName="5" name="gross_sales" queryTableFieldId="5"/>
    <tableColumn id="6" xr3:uid="{CEEA7967-D039-4310-8D15-0BF866D4A001}" uniqueName="6" name="taxes" queryTableFieldId="6"/>
    <tableColumn id="7" xr3:uid="{2AA33FD9-3575-498F-89DA-E6B43B082A5E}" uniqueName="7" name="net_sales" queryTableFieldId="7"/>
    <tableColumn id="8" xr3:uid="{DC2A048B-7D06-4C5D-9DE1-D9790079A43B}" uniqueName="8" name="returned_sales_value" queryTableFieldId="8"/>
    <tableColumn id="9" xr3:uid="{89291911-C1B9-450B-8E0F-F2C8244514E3}" uniqueName="9" name="realized_net_sales" queryTableFieldId="9"/>
    <tableColumn id="10" xr3:uid="{8FD79BA9-5401-40B8-8C35-C0437EC2F0F0}" uniqueName="10" name="return_rate" queryTableFieldId="10"/>
    <tableColumn id="11" xr3:uid="{EB24B772-B808-4EA1-AAFA-CA1FD59B3A94}" uniqueName="11" name="net_sales_per_unit" queryTableFieldId="11"/>
    <tableColumn id="12" xr3:uid="{0BFF6F93-3AB0-48B6-A155-C46A8151489D}" uniqueName="12" name="realized_net_sales_per_unit" queryTableField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C647E6D-2A07-4EA0-B9C4-9F1420459397}" name="export_1B_excel" displayName="export_1B_excel" ref="A1:M5" tableType="queryTable" totalsRowShown="0">
  <autoFilter ref="A1:M5" xr:uid="{1C647E6D-2A07-4EA0-B9C4-9F1420459397}"/>
  <tableColumns count="13">
    <tableColumn id="1" xr3:uid="{E359C8AA-1AF3-4C3A-9BBE-5F5ED67BB53E}" uniqueName="1" name="channel" queryTableFieldId="1" dataDxfId="7"/>
    <tableColumn id="2" xr3:uid="{81ACB7FE-F5B3-44B5-B9EF-E2B366453A62}" uniqueName="2" name="units_sold" queryTableFieldId="2"/>
    <tableColumn id="3" xr3:uid="{6C02CDAB-E977-4059-B682-11CAFEB50FE5}" uniqueName="3" name="units_returned" queryTableFieldId="3"/>
    <tableColumn id="4" xr3:uid="{D490AB5F-13FA-4FC7-A5EF-624E600392BE}" uniqueName="4" name="gross_sales" queryTableFieldId="4"/>
    <tableColumn id="5" xr3:uid="{84950C75-1AB6-4510-A759-482685C15C15}" uniqueName="5" name="taxes" queryTableFieldId="5"/>
    <tableColumn id="6" xr3:uid="{DB89656D-CE9A-4687-A8E9-7B4D69058D01}" uniqueName="6" name="net_sales" queryTableFieldId="6"/>
    <tableColumn id="7" xr3:uid="{E9C26A8B-39F3-4872-8C18-DCD5F4B33BEE}" uniqueName="7" name="returned_sales_value" queryTableFieldId="7"/>
    <tableColumn id="8" xr3:uid="{6E3F4A6C-786C-41D3-B7CD-4CBEF943F626}" uniqueName="8" name="realized_net_sales" queryTableFieldId="8"/>
    <tableColumn id="9" xr3:uid="{96582E76-CD7E-4BF9-ABE6-19446C06B4E2}" uniqueName="9" name="return_rate" queryTableFieldId="9"/>
    <tableColumn id="10" xr3:uid="{900F56BC-F14B-444E-BF1C-46C4580A23AD}" uniqueName="10" name="net_sales_mix" queryTableFieldId="10"/>
    <tableColumn id="11" xr3:uid="{5F894C93-05C7-494B-9BBC-C0B8F5FE44B0}" uniqueName="11" name="realized_sales_mix" queryTableFieldId="11"/>
    <tableColumn id="12" xr3:uid="{C27D14AE-AD72-4FDF-BDA4-5F5EB4D915F1}" uniqueName="12" name="net_sales_per_unit" queryTableFieldId="12"/>
    <tableColumn id="13" xr3:uid="{5C319B66-63A6-47CA-B0AC-8079DCCE831F}" uniqueName="13" name="realized_net_sales_per_unit" queryTableFieldId="1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7A1E6F1-B929-49EC-9DC7-19286B7D5E41}" name="export_2A_excel" displayName="export_2A_excel" ref="A1:H101" tableType="queryTable" totalsRowShown="0">
  <autoFilter ref="A1:H101" xr:uid="{87A1E6F1-B929-49EC-9DC7-19286B7D5E41}"/>
  <tableColumns count="8">
    <tableColumn id="1" xr3:uid="{D848657C-FEFE-4972-A81F-C04E97988E48}" uniqueName="1" name="year_month" queryTableFieldId="1" dataDxfId="6"/>
    <tableColumn id="2" xr3:uid="{03B01A6A-B632-42C7-8F90-87CE42E2E35D}" uniqueName="2" name="channel" queryTableFieldId="2" dataDxfId="5"/>
    <tableColumn id="3" xr3:uid="{C79774CD-B0E1-47E2-B541-6E77D23A4B60}" uniqueName="3" name="units_sold" queryTableFieldId="3"/>
    <tableColumn id="4" xr3:uid="{E2A320DC-1AEC-49F0-917C-5EFD3E0CB33D}" uniqueName="4" name="units_returned" queryTableFieldId="4"/>
    <tableColumn id="5" xr3:uid="{2727094A-72B4-4D10-853F-250D54159C87}" uniqueName="5" name="net_sales_at_sale" queryTableFieldId="5"/>
    <tableColumn id="6" xr3:uid="{1F56B4DD-76A2-4628-9CCA-EB80BFD739C4}" uniqueName="6" name="returned_sales_value" queryTableFieldId="6"/>
    <tableColumn id="7" xr3:uid="{32B902C1-1A89-4244-A348-A8FFBE39D5AA}" uniqueName="7" name="realized_net_sales" queryTableFieldId="7"/>
    <tableColumn id="8" xr3:uid="{0FB00906-C519-4B3A-B290-4B37D0FA2162}" uniqueName="8" name="return_rate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5FE0437-9544-4360-A34C-3117DE45D22C}" name="export_3A_excel" displayName="export_3A_excel" ref="A1:H5" tableType="queryTable" totalsRowShown="0">
  <autoFilter ref="A1:H5" xr:uid="{15FE0437-9544-4360-A34C-3117DE45D22C}"/>
  <tableColumns count="8">
    <tableColumn id="1" xr3:uid="{C6CF186D-8C68-4361-A48C-645B1F996B71}" uniqueName="1" name="channel" queryTableFieldId="1" dataDxfId="4"/>
    <tableColumn id="2" xr3:uid="{3BF46BF8-2F8A-4545-8642-9A049010C4BA}" uniqueName="2" name="net_sales" queryTableFieldId="2"/>
    <tableColumn id="3" xr3:uid="{F1A46B99-6628-4767-BC73-4AF3FCA2DAD8}" uniqueName="3" name="realized_net_sales" queryTableFieldId="3"/>
    <tableColumn id="4" xr3:uid="{066FEA38-0CFA-4D54-95B7-DACA4D567238}" uniqueName="4" name="product_cogs" queryTableFieldId="4"/>
    <tableColumn id="5" xr3:uid="{DA1B7D4B-0953-4946-A4F8-AA35D2BE25CF}" uniqueName="5" name="shipping_cost" queryTableFieldId="5"/>
    <tableColumn id="6" xr3:uid="{EC53C93C-940E-4AF0-A299-DD95DDBB774D}" uniqueName="6" name="estimated_return_cost" queryTableFieldId="6"/>
    <tableColumn id="7" xr3:uid="{17A54366-6866-4559-96F0-C6295FB8B42C}" uniqueName="7" name="contribution_margin" queryTableFieldId="7"/>
    <tableColumn id="8" xr3:uid="{4F642B4D-3D35-42A4-BC42-AA84A2DC5323}" uniqueName="8" name="contribution_margin_pc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174FCF5-307E-49D2-AF38-B675CDD501F5}" name="export_3B_excel" displayName="export_3B_excel" ref="A1:H9" tableType="queryTable" totalsRowShown="0">
  <autoFilter ref="A1:H9" xr:uid="{A174FCF5-307E-49D2-AF38-B675CDD501F5}"/>
  <tableColumns count="8">
    <tableColumn id="1" xr3:uid="{637417A3-E066-406F-A4D6-3C4150C42C8E}" uniqueName="1" name="category" queryTableFieldId="1" dataDxfId="3"/>
    <tableColumn id="2" xr3:uid="{9C2E813E-7F45-4D5D-AB31-411E4F8AAD43}" uniqueName="2" name="net_sales" queryTableFieldId="2"/>
    <tableColumn id="3" xr3:uid="{A3FF7A57-5243-41FD-A2FF-CE8FEF56A56C}" uniqueName="3" name="realized_net_sales" queryTableFieldId="3"/>
    <tableColumn id="4" xr3:uid="{257CCC13-B285-497B-BFE5-2FF88DF87120}" uniqueName="4" name="product_cogs" queryTableFieldId="4"/>
    <tableColumn id="5" xr3:uid="{DDC92C75-A71D-4324-8348-BA08E2036929}" uniqueName="5" name="shipping_cost" queryTableFieldId="5"/>
    <tableColumn id="6" xr3:uid="{B82DA831-969E-4F8C-A7C3-584D656CDD82}" uniqueName="6" name="estimated_return_cost" queryTableFieldId="6"/>
    <tableColumn id="7" xr3:uid="{CA60CBA0-45A3-4FEC-8CF3-B7A4D0374810}" uniqueName="7" name="contribution_margin" queryTableFieldId="7"/>
    <tableColumn id="8" xr3:uid="{3CE741DB-4DA4-47E1-9780-75AA99E887DB}" uniqueName="8" name="contribution_margin_pct" queryTableFieldId="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911540-2E3D-4AC1-9660-E9F2EC81CE63}" name="export_3C_excel" displayName="export_3C_excel" ref="A1:M201" tableType="queryTable" totalsRowShown="0">
  <autoFilter ref="A1:M201" xr:uid="{8F911540-2E3D-4AC1-9660-E9F2EC81CE63}"/>
  <tableColumns count="13">
    <tableColumn id="1" xr3:uid="{D88C7FBA-ED01-4757-A016-46E57740488E}" uniqueName="1" name="sku" queryTableFieldId="1" dataDxfId="2"/>
    <tableColumn id="2" xr3:uid="{EDB250E3-19BC-4129-845A-BAA4C1121AF4}" uniqueName="2" name="name" queryTableFieldId="2" dataDxfId="1"/>
    <tableColumn id="3" xr3:uid="{99D22054-1063-4A9C-8C2A-BCC09D2F116A}" uniqueName="3" name="category" queryTableFieldId="3" dataDxfId="0"/>
    <tableColumn id="4" xr3:uid="{5D2E4180-6EC6-4F01-BB6B-6D1A07DF3D7D}" uniqueName="4" name="net_sales" queryTableFieldId="4"/>
    <tableColumn id="5" xr3:uid="{D0EA0777-10EE-4DEF-8BC5-3FC8DF527D89}" uniqueName="5" name="realized_net_sales" queryTableFieldId="5"/>
    <tableColumn id="6" xr3:uid="{C8C9F061-58EA-4AEF-B79E-A67F1F3C37C8}" uniqueName="6" name="product_cogs" queryTableFieldId="6"/>
    <tableColumn id="7" xr3:uid="{A52F88D6-2BBC-4E8E-A9A8-30151BDCA0C6}" uniqueName="7" name="shipping_cost" queryTableFieldId="7"/>
    <tableColumn id="8" xr3:uid="{FE23EA29-B39C-4AB4-87F7-38D878C591F1}" uniqueName="8" name="estimated_return_cost" queryTableFieldId="8"/>
    <tableColumn id="9" xr3:uid="{35C6147C-D01C-4C37-881A-75CF3E5BF392}" uniqueName="9" name="contribution_margin" queryTableFieldId="9"/>
    <tableColumn id="10" xr3:uid="{893C5286-824C-42F9-81FC-7C2FABF8293D}" uniqueName="10" name="contribution_margin_pct" queryTableFieldId="10"/>
    <tableColumn id="11" xr3:uid="{A71A68FA-A1B3-4BB2-9AE4-8052527FE3DB}" uniqueName="11" name="units_sold" queryTableFieldId="11"/>
    <tableColumn id="12" xr3:uid="{A7A97204-B47A-423D-BE02-0D567F578725}" uniqueName="12" name="units_returned" queryTableFieldId="12"/>
    <tableColumn id="13" xr3:uid="{9B526AE6-66F3-48E8-B291-CD4CB98CBDF6}" uniqueName="13" name="return_rate" queryTableField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4" Type="http://schemas.openxmlformats.org/officeDocument/2006/relationships/pivotTable" Target="../pivotTables/pivot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3D109-8B5A-4F2B-85EE-BCAAA79D5808}">
  <dimension ref="B2:K98"/>
  <sheetViews>
    <sheetView tabSelected="1" topLeftCell="A98" zoomScaleNormal="100" workbookViewId="0">
      <selection activeCell="O122" sqref="O122"/>
    </sheetView>
  </sheetViews>
  <sheetFormatPr baseColWidth="10" defaultRowHeight="15" x14ac:dyDescent="0.25"/>
  <cols>
    <col min="2" max="2" width="12" bestFit="1" customWidth="1"/>
    <col min="3" max="3" width="10.28515625" bestFit="1" customWidth="1"/>
    <col min="4" max="4" width="17.85546875" bestFit="1" customWidth="1"/>
    <col min="5" max="5" width="6.140625" bestFit="1" customWidth="1"/>
    <col min="6" max="6" width="11.7109375" bestFit="1" customWidth="1"/>
    <col min="7" max="7" width="12.5703125" bestFit="1" customWidth="1"/>
    <col min="10" max="10" width="11.5703125" bestFit="1" customWidth="1"/>
    <col min="11" max="11" width="30" bestFit="1" customWidth="1"/>
  </cols>
  <sheetData>
    <row r="2" spans="2:4" ht="21" x14ac:dyDescent="0.35">
      <c r="B2" s="4" t="s">
        <v>20</v>
      </c>
    </row>
    <row r="4" spans="2:4" x14ac:dyDescent="0.25">
      <c r="B4" s="3" t="s">
        <v>18</v>
      </c>
      <c r="D4" s="3" t="s">
        <v>19</v>
      </c>
    </row>
    <row r="5" spans="2:4" x14ac:dyDescent="0.25">
      <c r="B5">
        <f>SUM(export_1B_excel[net_sales])</f>
        <v>10486114.600000001</v>
      </c>
      <c r="D5">
        <f>SUM(export_1B_excel[realized_net_sales])</f>
        <v>8975732.6000000015</v>
      </c>
    </row>
    <row r="27" spans="2:6" x14ac:dyDescent="0.25">
      <c r="B27" s="5" t="s">
        <v>26</v>
      </c>
      <c r="C27" t="s">
        <v>18</v>
      </c>
      <c r="D27" t="s">
        <v>19</v>
      </c>
      <c r="E27" t="s">
        <v>27</v>
      </c>
      <c r="F27" t="s">
        <v>28</v>
      </c>
    </row>
    <row r="28" spans="2:6" x14ac:dyDescent="0.25">
      <c r="B28" s="7" t="s">
        <v>13</v>
      </c>
      <c r="C28" s="2">
        <v>6073369.9000000004</v>
      </c>
      <c r="D28" s="2">
        <v>4988320.7</v>
      </c>
      <c r="E28" s="8">
        <v>0.55575638500000002</v>
      </c>
      <c r="F28" s="9">
        <v>0.178962878709544</v>
      </c>
    </row>
    <row r="29" spans="2:6" x14ac:dyDescent="0.25">
      <c r="B29" s="7" t="s">
        <v>15</v>
      </c>
      <c r="C29" s="2">
        <v>1889540</v>
      </c>
      <c r="D29" s="2">
        <v>1809690</v>
      </c>
      <c r="E29" s="8">
        <v>0.201620311</v>
      </c>
      <c r="F29" s="11">
        <v>4.1548927263212902E-2</v>
      </c>
    </row>
    <row r="30" spans="2:6" x14ac:dyDescent="0.25">
      <c r="B30" s="7" t="s">
        <v>14</v>
      </c>
      <c r="C30" s="2">
        <v>2007484.8</v>
      </c>
      <c r="D30" s="2">
        <v>1734595.1</v>
      </c>
      <c r="E30" s="8">
        <v>0.19325387399999999</v>
      </c>
      <c r="F30" s="10">
        <v>0.1336756924992219</v>
      </c>
    </row>
    <row r="31" spans="2:6" x14ac:dyDescent="0.25">
      <c r="B31" s="7" t="s">
        <v>12</v>
      </c>
      <c r="C31" s="2">
        <v>515719.9</v>
      </c>
      <c r="D31" s="2">
        <v>443126.8</v>
      </c>
      <c r="E31" s="8">
        <v>4.9369429999999999E-2</v>
      </c>
      <c r="F31" s="10">
        <v>0.1442424242424242</v>
      </c>
    </row>
    <row r="45" spans="2:2" ht="21" x14ac:dyDescent="0.35">
      <c r="B45" s="4" t="s">
        <v>32</v>
      </c>
    </row>
    <row r="66" spans="2:11" ht="21" x14ac:dyDescent="0.35">
      <c r="B66" s="4" t="s">
        <v>35</v>
      </c>
    </row>
    <row r="74" spans="2:11" x14ac:dyDescent="0.25">
      <c r="J74" s="5" t="s">
        <v>26</v>
      </c>
      <c r="K74" t="s">
        <v>54</v>
      </c>
    </row>
    <row r="75" spans="2:11" x14ac:dyDescent="0.25">
      <c r="J75" s="7" t="s">
        <v>15</v>
      </c>
      <c r="K75" s="2">
        <v>0.53717859999999995</v>
      </c>
    </row>
    <row r="76" spans="2:11" x14ac:dyDescent="0.25">
      <c r="J76" s="7" t="s">
        <v>12</v>
      </c>
      <c r="K76" s="2">
        <v>0.40478042600000003</v>
      </c>
    </row>
    <row r="77" spans="2:11" x14ac:dyDescent="0.25">
      <c r="J77" s="7" t="s">
        <v>14</v>
      </c>
      <c r="K77" s="2">
        <v>0.40440290699999998</v>
      </c>
    </row>
    <row r="78" spans="2:11" x14ac:dyDescent="0.25">
      <c r="J78" s="7" t="s">
        <v>13</v>
      </c>
      <c r="K78" s="2">
        <v>0.40059464099999997</v>
      </c>
    </row>
    <row r="90" spans="10:11" x14ac:dyDescent="0.25">
      <c r="J90" s="5" t="s">
        <v>55</v>
      </c>
      <c r="K90" t="s">
        <v>54</v>
      </c>
    </row>
    <row r="91" spans="10:11" x14ac:dyDescent="0.25">
      <c r="J91" s="7" t="s">
        <v>42</v>
      </c>
      <c r="K91" s="2">
        <v>0.46169297999999998</v>
      </c>
    </row>
    <row r="92" spans="10:11" x14ac:dyDescent="0.25">
      <c r="J92" s="7" t="s">
        <v>43</v>
      </c>
      <c r="K92" s="2">
        <v>0.45904947400000001</v>
      </c>
    </row>
    <row r="93" spans="10:11" x14ac:dyDescent="0.25">
      <c r="J93" s="7" t="s">
        <v>44</v>
      </c>
      <c r="K93" s="2">
        <v>0.435193371</v>
      </c>
    </row>
    <row r="94" spans="10:11" x14ac:dyDescent="0.25">
      <c r="J94" s="7" t="s">
        <v>45</v>
      </c>
      <c r="K94" s="2">
        <v>0.41786963999999999</v>
      </c>
    </row>
    <row r="95" spans="10:11" x14ac:dyDescent="0.25">
      <c r="J95" s="7" t="s">
        <v>46</v>
      </c>
      <c r="K95" s="2">
        <v>0.39966232200000001</v>
      </c>
    </row>
    <row r="96" spans="10:11" x14ac:dyDescent="0.25">
      <c r="J96" s="7" t="s">
        <v>47</v>
      </c>
      <c r="K96" s="2">
        <v>0.375647381</v>
      </c>
    </row>
    <row r="97" spans="10:11" x14ac:dyDescent="0.25">
      <c r="J97" s="7" t="s">
        <v>48</v>
      </c>
      <c r="K97" s="2">
        <v>0.36987073300000001</v>
      </c>
    </row>
    <row r="98" spans="10:11" x14ac:dyDescent="0.25">
      <c r="J98" s="7" t="s">
        <v>49</v>
      </c>
      <c r="K98" s="2">
        <v>0.31783339500000002</v>
      </c>
    </row>
  </sheetData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E5566-7591-4871-9AF8-68F3AFAA9E66}">
  <dimension ref="A1:L101"/>
  <sheetViews>
    <sheetView workbookViewId="0">
      <selection sqref="A1:L101"/>
    </sheetView>
  </sheetViews>
  <sheetFormatPr baseColWidth="10" defaultRowHeight="15" x14ac:dyDescent="0.25"/>
  <cols>
    <col min="1" max="1" width="13.85546875" bestFit="1" customWidth="1"/>
    <col min="2" max="2" width="12" bestFit="1" customWidth="1"/>
    <col min="3" max="3" width="12.5703125" bestFit="1" customWidth="1"/>
    <col min="4" max="4" width="16.5703125" bestFit="1" customWidth="1"/>
    <col min="5" max="5" width="13.7109375" bestFit="1" customWidth="1"/>
    <col min="6" max="6" width="8.140625" bestFit="1" customWidth="1"/>
    <col min="7" max="7" width="11.85546875" bestFit="1" customWidth="1"/>
    <col min="8" max="8" width="22.5703125" bestFit="1" customWidth="1"/>
    <col min="9" max="9" width="20" bestFit="1" customWidth="1"/>
    <col min="10" max="10" width="13.28515625" bestFit="1" customWidth="1"/>
    <col min="11" max="11" width="20.28515625" bestFit="1" customWidth="1"/>
    <col min="12" max="12" width="28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1">
        <v>45413</v>
      </c>
      <c r="B2" s="2" t="s">
        <v>12</v>
      </c>
      <c r="C2">
        <v>3</v>
      </c>
      <c r="D2">
        <v>3</v>
      </c>
      <c r="E2">
        <v>490</v>
      </c>
      <c r="F2">
        <v>102.9</v>
      </c>
      <c r="G2">
        <v>387.1</v>
      </c>
      <c r="H2">
        <v>387.1</v>
      </c>
      <c r="I2">
        <v>0</v>
      </c>
      <c r="J2">
        <v>1</v>
      </c>
      <c r="K2">
        <v>129.033333333</v>
      </c>
      <c r="L2">
        <v>0</v>
      </c>
    </row>
    <row r="3" spans="1:12" x14ac:dyDescent="0.25">
      <c r="A3" s="1">
        <v>45413</v>
      </c>
      <c r="B3" s="2" t="s">
        <v>13</v>
      </c>
      <c r="C3">
        <v>139</v>
      </c>
      <c r="D3">
        <v>25</v>
      </c>
      <c r="E3">
        <v>26290</v>
      </c>
      <c r="F3">
        <v>5520.9</v>
      </c>
      <c r="G3">
        <v>20769.099999999999</v>
      </c>
      <c r="H3">
        <v>4068.5</v>
      </c>
      <c r="I3">
        <v>16700.599999999999</v>
      </c>
      <c r="J3">
        <v>0.17985611510791361</v>
      </c>
      <c r="K3">
        <v>149.417985612</v>
      </c>
      <c r="L3">
        <v>120.148201439</v>
      </c>
    </row>
    <row r="4" spans="1:12" x14ac:dyDescent="0.25">
      <c r="A4" s="1">
        <v>45413</v>
      </c>
      <c r="B4" s="2" t="s">
        <v>14</v>
      </c>
      <c r="C4">
        <v>41</v>
      </c>
      <c r="D4">
        <v>8</v>
      </c>
      <c r="E4">
        <v>9500</v>
      </c>
      <c r="F4">
        <v>1995</v>
      </c>
      <c r="G4">
        <v>7505</v>
      </c>
      <c r="H4">
        <v>1516.8</v>
      </c>
      <c r="I4">
        <v>5988.2</v>
      </c>
      <c r="J4">
        <v>0.1951219512195122</v>
      </c>
      <c r="K4">
        <v>183.04878048800001</v>
      </c>
      <c r="L4">
        <v>146.05365853699999</v>
      </c>
    </row>
    <row r="5" spans="1:12" x14ac:dyDescent="0.25">
      <c r="A5" s="1">
        <v>45413</v>
      </c>
      <c r="B5" s="2" t="s">
        <v>15</v>
      </c>
      <c r="C5">
        <v>44</v>
      </c>
      <c r="D5">
        <v>1</v>
      </c>
      <c r="E5">
        <v>9500</v>
      </c>
      <c r="F5">
        <v>0</v>
      </c>
      <c r="G5">
        <v>9500</v>
      </c>
      <c r="H5">
        <v>150</v>
      </c>
      <c r="I5">
        <v>9350</v>
      </c>
      <c r="J5">
        <v>2.27272727272727E-2</v>
      </c>
      <c r="K5">
        <v>215.90909090900001</v>
      </c>
      <c r="L5">
        <v>212.5</v>
      </c>
    </row>
    <row r="6" spans="1:12" x14ac:dyDescent="0.25">
      <c r="A6" s="1">
        <v>45444</v>
      </c>
      <c r="B6" s="2" t="s">
        <v>12</v>
      </c>
      <c r="C6">
        <v>98</v>
      </c>
      <c r="D6">
        <v>9</v>
      </c>
      <c r="E6">
        <v>18570</v>
      </c>
      <c r="F6">
        <v>3899.7</v>
      </c>
      <c r="G6">
        <v>14670.3</v>
      </c>
      <c r="H6">
        <v>1287.7</v>
      </c>
      <c r="I6">
        <v>13382.6</v>
      </c>
      <c r="J6">
        <v>9.18367346938775E-2</v>
      </c>
      <c r="K6">
        <v>149.696938776</v>
      </c>
      <c r="L6">
        <v>136.557142857</v>
      </c>
    </row>
    <row r="7" spans="1:12" x14ac:dyDescent="0.25">
      <c r="A7" s="1">
        <v>45444</v>
      </c>
      <c r="B7" s="2" t="s">
        <v>13</v>
      </c>
      <c r="C7">
        <v>1416</v>
      </c>
      <c r="D7">
        <v>259</v>
      </c>
      <c r="E7">
        <v>271720</v>
      </c>
      <c r="F7">
        <v>57061.2</v>
      </c>
      <c r="G7">
        <v>214658.8</v>
      </c>
      <c r="H7">
        <v>41103.699999999997</v>
      </c>
      <c r="I7">
        <v>173555.1</v>
      </c>
      <c r="J7">
        <v>0.18290960451977401</v>
      </c>
      <c r="K7">
        <v>151.59519774</v>
      </c>
      <c r="L7">
        <v>122.567161017</v>
      </c>
    </row>
    <row r="8" spans="1:12" x14ac:dyDescent="0.25">
      <c r="A8" s="1">
        <v>45444</v>
      </c>
      <c r="B8" s="2" t="s">
        <v>14</v>
      </c>
      <c r="C8">
        <v>498</v>
      </c>
      <c r="D8">
        <v>64</v>
      </c>
      <c r="E8">
        <v>102860</v>
      </c>
      <c r="F8">
        <v>21600.6</v>
      </c>
      <c r="G8">
        <v>81259.399999999994</v>
      </c>
      <c r="H8">
        <v>12877</v>
      </c>
      <c r="I8">
        <v>68382.399999999994</v>
      </c>
      <c r="J8">
        <v>0.1285140562248995</v>
      </c>
      <c r="K8">
        <v>163.17148594400001</v>
      </c>
      <c r="L8">
        <v>137.314056225</v>
      </c>
    </row>
    <row r="9" spans="1:12" x14ac:dyDescent="0.25">
      <c r="A9" s="1">
        <v>45444</v>
      </c>
      <c r="B9" s="2" t="s">
        <v>15</v>
      </c>
      <c r="C9">
        <v>349</v>
      </c>
      <c r="D9">
        <v>8</v>
      </c>
      <c r="E9">
        <v>69000</v>
      </c>
      <c r="F9">
        <v>0</v>
      </c>
      <c r="G9">
        <v>69000</v>
      </c>
      <c r="H9">
        <v>1630</v>
      </c>
      <c r="I9">
        <v>67370</v>
      </c>
      <c r="J9">
        <v>2.2922636103151799E-2</v>
      </c>
      <c r="K9">
        <v>197.70773639000001</v>
      </c>
      <c r="L9">
        <v>193.03724928400001</v>
      </c>
    </row>
    <row r="10" spans="1:12" x14ac:dyDescent="0.25">
      <c r="A10" s="1">
        <v>45474</v>
      </c>
      <c r="B10" s="2" t="s">
        <v>12</v>
      </c>
      <c r="C10">
        <v>109</v>
      </c>
      <c r="D10">
        <v>16</v>
      </c>
      <c r="E10">
        <v>24770</v>
      </c>
      <c r="F10">
        <v>5201.7</v>
      </c>
      <c r="G10">
        <v>19568.3</v>
      </c>
      <c r="H10">
        <v>2678.1</v>
      </c>
      <c r="I10">
        <v>16890.2</v>
      </c>
      <c r="J10">
        <v>0.146788990825688</v>
      </c>
      <c r="K10">
        <v>179.525688073</v>
      </c>
      <c r="L10">
        <v>154.955963303</v>
      </c>
    </row>
    <row r="11" spans="1:12" x14ac:dyDescent="0.25">
      <c r="A11" s="1">
        <v>45474</v>
      </c>
      <c r="B11" s="2" t="s">
        <v>13</v>
      </c>
      <c r="C11">
        <v>1394</v>
      </c>
      <c r="D11">
        <v>239</v>
      </c>
      <c r="E11">
        <v>279240</v>
      </c>
      <c r="F11">
        <v>58640.4</v>
      </c>
      <c r="G11">
        <v>220599.6</v>
      </c>
      <c r="H11">
        <v>36371.599999999999</v>
      </c>
      <c r="I11">
        <v>184228</v>
      </c>
      <c r="J11">
        <v>0.1714490674318507</v>
      </c>
      <c r="K11">
        <v>158.24935437600001</v>
      </c>
      <c r="L11">
        <v>132.157819225</v>
      </c>
    </row>
    <row r="12" spans="1:12" x14ac:dyDescent="0.25">
      <c r="A12" s="1">
        <v>45474</v>
      </c>
      <c r="B12" s="2" t="s">
        <v>14</v>
      </c>
      <c r="C12">
        <v>391</v>
      </c>
      <c r="D12">
        <v>60</v>
      </c>
      <c r="E12">
        <v>79970</v>
      </c>
      <c r="F12">
        <v>16793.7</v>
      </c>
      <c r="G12">
        <v>63176.3</v>
      </c>
      <c r="H12">
        <v>9179.7999999999993</v>
      </c>
      <c r="I12">
        <v>53996.5</v>
      </c>
      <c r="J12">
        <v>0.15345268542199481</v>
      </c>
      <c r="K12">
        <v>161.57621483400001</v>
      </c>
      <c r="L12">
        <v>138.098465473</v>
      </c>
    </row>
    <row r="13" spans="1:12" x14ac:dyDescent="0.25">
      <c r="A13" s="1">
        <v>45474</v>
      </c>
      <c r="B13" s="2" t="s">
        <v>15</v>
      </c>
      <c r="C13">
        <v>318</v>
      </c>
      <c r="D13">
        <v>12</v>
      </c>
      <c r="E13">
        <v>63530</v>
      </c>
      <c r="F13">
        <v>0</v>
      </c>
      <c r="G13">
        <v>63530</v>
      </c>
      <c r="H13">
        <v>2870</v>
      </c>
      <c r="I13">
        <v>60660</v>
      </c>
      <c r="J13">
        <v>3.7735849056603703E-2</v>
      </c>
      <c r="K13">
        <v>199.77987421399999</v>
      </c>
      <c r="L13">
        <v>190.754716981</v>
      </c>
    </row>
    <row r="14" spans="1:12" x14ac:dyDescent="0.25">
      <c r="A14" s="1">
        <v>45505</v>
      </c>
      <c r="B14" s="2" t="s">
        <v>12</v>
      </c>
      <c r="C14">
        <v>118</v>
      </c>
      <c r="D14">
        <v>16</v>
      </c>
      <c r="E14">
        <v>24390</v>
      </c>
      <c r="F14">
        <v>5121.8999999999996</v>
      </c>
      <c r="G14">
        <v>19268.099999999999</v>
      </c>
      <c r="H14">
        <v>3160</v>
      </c>
      <c r="I14">
        <v>16108.1</v>
      </c>
      <c r="J14">
        <v>0.13559322033898299</v>
      </c>
      <c r="K14">
        <v>163.288983051</v>
      </c>
      <c r="L14">
        <v>136.50932203400001</v>
      </c>
    </row>
    <row r="15" spans="1:12" x14ac:dyDescent="0.25">
      <c r="A15" s="1">
        <v>45505</v>
      </c>
      <c r="B15" s="2" t="s">
        <v>13</v>
      </c>
      <c r="C15">
        <v>1349</v>
      </c>
      <c r="D15">
        <v>253</v>
      </c>
      <c r="E15">
        <v>268650</v>
      </c>
      <c r="F15">
        <v>56416.5</v>
      </c>
      <c r="G15">
        <v>212233.5</v>
      </c>
      <c r="H15">
        <v>39302.5</v>
      </c>
      <c r="I15">
        <v>172931</v>
      </c>
      <c r="J15">
        <v>0.18754633061527051</v>
      </c>
      <c r="K15">
        <v>157.32653817600001</v>
      </c>
      <c r="L15">
        <v>128.19199406999999</v>
      </c>
    </row>
    <row r="16" spans="1:12" x14ac:dyDescent="0.25">
      <c r="A16" s="1">
        <v>45505</v>
      </c>
      <c r="B16" s="2" t="s">
        <v>14</v>
      </c>
      <c r="C16">
        <v>391</v>
      </c>
      <c r="D16">
        <v>54</v>
      </c>
      <c r="E16">
        <v>76650</v>
      </c>
      <c r="F16">
        <v>16096.5</v>
      </c>
      <c r="G16">
        <v>60553.5</v>
      </c>
      <c r="H16">
        <v>7694.6</v>
      </c>
      <c r="I16">
        <v>52858.9</v>
      </c>
      <c r="J16">
        <v>0.1381074168797953</v>
      </c>
      <c r="K16">
        <v>154.868286445</v>
      </c>
      <c r="L16">
        <v>135.189002558</v>
      </c>
    </row>
    <row r="17" spans="1:12" x14ac:dyDescent="0.25">
      <c r="A17" s="1">
        <v>45505</v>
      </c>
      <c r="B17" s="2" t="s">
        <v>15</v>
      </c>
      <c r="C17">
        <v>354</v>
      </c>
      <c r="D17">
        <v>18</v>
      </c>
      <c r="E17">
        <v>69420</v>
      </c>
      <c r="F17">
        <v>0</v>
      </c>
      <c r="G17">
        <v>69420</v>
      </c>
      <c r="H17">
        <v>3940</v>
      </c>
      <c r="I17">
        <v>65480</v>
      </c>
      <c r="J17">
        <v>5.0847457627118599E-2</v>
      </c>
      <c r="K17">
        <v>196.101694915</v>
      </c>
      <c r="L17">
        <v>184.971751412</v>
      </c>
    </row>
    <row r="18" spans="1:12" x14ac:dyDescent="0.25">
      <c r="A18" s="1">
        <v>45536</v>
      </c>
      <c r="B18" s="2" t="s">
        <v>12</v>
      </c>
      <c r="C18">
        <v>108</v>
      </c>
      <c r="D18">
        <v>15</v>
      </c>
      <c r="E18">
        <v>17330</v>
      </c>
      <c r="F18">
        <v>3639.3</v>
      </c>
      <c r="G18">
        <v>13690.7</v>
      </c>
      <c r="H18">
        <v>2038.2</v>
      </c>
      <c r="I18">
        <v>11652.5</v>
      </c>
      <c r="J18">
        <v>0.1388888888888889</v>
      </c>
      <c r="K18">
        <v>126.765740741</v>
      </c>
      <c r="L18">
        <v>107.893518519</v>
      </c>
    </row>
    <row r="19" spans="1:12" x14ac:dyDescent="0.25">
      <c r="A19" s="1">
        <v>45536</v>
      </c>
      <c r="B19" s="2" t="s">
        <v>13</v>
      </c>
      <c r="C19">
        <v>1320</v>
      </c>
      <c r="D19">
        <v>239</v>
      </c>
      <c r="E19">
        <v>262080</v>
      </c>
      <c r="F19">
        <v>55036.800000000003</v>
      </c>
      <c r="G19">
        <v>207043.20000000001</v>
      </c>
      <c r="H19">
        <v>39120.800000000003</v>
      </c>
      <c r="I19">
        <v>167922.4</v>
      </c>
      <c r="J19">
        <v>0.18106060606060601</v>
      </c>
      <c r="K19">
        <v>156.85090909100001</v>
      </c>
      <c r="L19">
        <v>127.21393939399999</v>
      </c>
    </row>
    <row r="20" spans="1:12" x14ac:dyDescent="0.25">
      <c r="A20" s="1">
        <v>45536</v>
      </c>
      <c r="B20" s="2" t="s">
        <v>14</v>
      </c>
      <c r="C20">
        <v>444</v>
      </c>
      <c r="D20">
        <v>62</v>
      </c>
      <c r="E20">
        <v>90930</v>
      </c>
      <c r="F20">
        <v>19095.3</v>
      </c>
      <c r="G20">
        <v>71834.7</v>
      </c>
      <c r="H20">
        <v>10088.299999999999</v>
      </c>
      <c r="I20">
        <v>61746.400000000001</v>
      </c>
      <c r="J20">
        <v>0.1396396396396396</v>
      </c>
      <c r="K20">
        <v>161.789864865</v>
      </c>
      <c r="L20">
        <v>139.06846846799999</v>
      </c>
    </row>
    <row r="21" spans="1:12" x14ac:dyDescent="0.25">
      <c r="A21" s="1">
        <v>45536</v>
      </c>
      <c r="B21" s="2" t="s">
        <v>15</v>
      </c>
      <c r="C21">
        <v>338</v>
      </c>
      <c r="D21">
        <v>7</v>
      </c>
      <c r="E21">
        <v>64300</v>
      </c>
      <c r="F21">
        <v>0</v>
      </c>
      <c r="G21">
        <v>64300</v>
      </c>
      <c r="H21">
        <v>1260</v>
      </c>
      <c r="I21">
        <v>63040</v>
      </c>
      <c r="J21">
        <v>2.07100591715976E-2</v>
      </c>
      <c r="K21">
        <v>190.23668639100001</v>
      </c>
      <c r="L21">
        <v>186.50887574000001</v>
      </c>
    </row>
    <row r="22" spans="1:12" x14ac:dyDescent="0.25">
      <c r="A22" s="1">
        <v>45566</v>
      </c>
      <c r="B22" s="2" t="s">
        <v>12</v>
      </c>
      <c r="C22">
        <v>127</v>
      </c>
      <c r="D22">
        <v>20</v>
      </c>
      <c r="E22">
        <v>22490</v>
      </c>
      <c r="F22">
        <v>4722.8999999999996</v>
      </c>
      <c r="G22">
        <v>17767.099999999999</v>
      </c>
      <c r="H22">
        <v>2891.4</v>
      </c>
      <c r="I22">
        <v>14875.7</v>
      </c>
      <c r="J22">
        <v>0.15748031496062989</v>
      </c>
      <c r="K22">
        <v>139.89842519699999</v>
      </c>
      <c r="L22">
        <v>117.131496063</v>
      </c>
    </row>
    <row r="23" spans="1:12" x14ac:dyDescent="0.25">
      <c r="A23" s="1">
        <v>45566</v>
      </c>
      <c r="B23" s="2" t="s">
        <v>13</v>
      </c>
      <c r="C23">
        <v>1484</v>
      </c>
      <c r="D23">
        <v>291</v>
      </c>
      <c r="E23">
        <v>290310</v>
      </c>
      <c r="F23">
        <v>60965.1</v>
      </c>
      <c r="G23">
        <v>229344.9</v>
      </c>
      <c r="H23">
        <v>46997.1</v>
      </c>
      <c r="I23">
        <v>182347.8</v>
      </c>
      <c r="J23">
        <v>0.1960916442048517</v>
      </c>
      <c r="K23">
        <v>154.54508086300001</v>
      </c>
      <c r="L23">
        <v>122.875876011</v>
      </c>
    </row>
    <row r="24" spans="1:12" x14ac:dyDescent="0.25">
      <c r="A24" s="1">
        <v>45566</v>
      </c>
      <c r="B24" s="2" t="s">
        <v>14</v>
      </c>
      <c r="C24">
        <v>530</v>
      </c>
      <c r="D24">
        <v>77</v>
      </c>
      <c r="E24">
        <v>97850</v>
      </c>
      <c r="F24">
        <v>20548.5</v>
      </c>
      <c r="G24">
        <v>77301.5</v>
      </c>
      <c r="H24">
        <v>10641.3</v>
      </c>
      <c r="I24">
        <v>66660.2</v>
      </c>
      <c r="J24">
        <v>0.1452830188679245</v>
      </c>
      <c r="K24">
        <v>145.85188679199999</v>
      </c>
      <c r="L24">
        <v>125.77396226400001</v>
      </c>
    </row>
    <row r="25" spans="1:12" x14ac:dyDescent="0.25">
      <c r="A25" s="1">
        <v>45566</v>
      </c>
      <c r="B25" s="2" t="s">
        <v>15</v>
      </c>
      <c r="C25">
        <v>390</v>
      </c>
      <c r="D25">
        <v>15</v>
      </c>
      <c r="E25">
        <v>83230</v>
      </c>
      <c r="F25">
        <v>0</v>
      </c>
      <c r="G25">
        <v>83230</v>
      </c>
      <c r="H25">
        <v>3670</v>
      </c>
      <c r="I25">
        <v>79560</v>
      </c>
      <c r="J25">
        <v>3.8461538461538401E-2</v>
      </c>
      <c r="K25">
        <v>213.41025640999999</v>
      </c>
      <c r="L25">
        <v>204</v>
      </c>
    </row>
    <row r="26" spans="1:12" x14ac:dyDescent="0.25">
      <c r="A26" s="1">
        <v>45597</v>
      </c>
      <c r="B26" s="2" t="s">
        <v>12</v>
      </c>
      <c r="C26">
        <v>171</v>
      </c>
      <c r="D26">
        <v>30</v>
      </c>
      <c r="E26">
        <v>39470</v>
      </c>
      <c r="F26">
        <v>8288.7000000000007</v>
      </c>
      <c r="G26">
        <v>31181.3</v>
      </c>
      <c r="H26">
        <v>5079.7</v>
      </c>
      <c r="I26">
        <v>26101.599999999999</v>
      </c>
      <c r="J26">
        <v>0.175438596491228</v>
      </c>
      <c r="K26">
        <v>182.34678362599999</v>
      </c>
      <c r="L26">
        <v>152.640935673</v>
      </c>
    </row>
    <row r="27" spans="1:12" x14ac:dyDescent="0.25">
      <c r="A27" s="1">
        <v>45597</v>
      </c>
      <c r="B27" s="2" t="s">
        <v>13</v>
      </c>
      <c r="C27">
        <v>1818</v>
      </c>
      <c r="D27">
        <v>293</v>
      </c>
      <c r="E27">
        <v>363900</v>
      </c>
      <c r="F27">
        <v>76419</v>
      </c>
      <c r="G27">
        <v>287481</v>
      </c>
      <c r="H27">
        <v>46436.2</v>
      </c>
      <c r="I27">
        <v>241044.8</v>
      </c>
      <c r="J27">
        <v>0.16116611661166111</v>
      </c>
      <c r="K27">
        <v>158.13036303600001</v>
      </c>
      <c r="L27">
        <v>132.58789879</v>
      </c>
    </row>
    <row r="28" spans="1:12" x14ac:dyDescent="0.25">
      <c r="A28" s="1">
        <v>45597</v>
      </c>
      <c r="B28" s="2" t="s">
        <v>14</v>
      </c>
      <c r="C28">
        <v>620</v>
      </c>
      <c r="D28">
        <v>81</v>
      </c>
      <c r="E28">
        <v>120520</v>
      </c>
      <c r="F28">
        <v>25309.200000000001</v>
      </c>
      <c r="G28">
        <v>95210.8</v>
      </c>
      <c r="H28">
        <v>13588</v>
      </c>
      <c r="I28">
        <v>81622.8</v>
      </c>
      <c r="J28">
        <v>0.1306451612903225</v>
      </c>
      <c r="K28">
        <v>153.565806452</v>
      </c>
      <c r="L28">
        <v>131.649677419</v>
      </c>
    </row>
    <row r="29" spans="1:12" x14ac:dyDescent="0.25">
      <c r="A29" s="1">
        <v>45597</v>
      </c>
      <c r="B29" s="2" t="s">
        <v>15</v>
      </c>
      <c r="C29">
        <v>439</v>
      </c>
      <c r="D29">
        <v>18</v>
      </c>
      <c r="E29">
        <v>88230</v>
      </c>
      <c r="F29">
        <v>0</v>
      </c>
      <c r="G29">
        <v>88230</v>
      </c>
      <c r="H29">
        <v>3150</v>
      </c>
      <c r="I29">
        <v>85080</v>
      </c>
      <c r="J29">
        <v>4.1002277904327998E-2</v>
      </c>
      <c r="K29">
        <v>200.979498861</v>
      </c>
      <c r="L29">
        <v>193.80410022800001</v>
      </c>
    </row>
    <row r="30" spans="1:12" x14ac:dyDescent="0.25">
      <c r="A30" s="1">
        <v>45627</v>
      </c>
      <c r="B30" s="2" t="s">
        <v>12</v>
      </c>
      <c r="C30">
        <v>181</v>
      </c>
      <c r="D30">
        <v>33</v>
      </c>
      <c r="E30">
        <v>36360</v>
      </c>
      <c r="F30">
        <v>7635.6</v>
      </c>
      <c r="G30">
        <v>28724.400000000001</v>
      </c>
      <c r="H30">
        <v>5135</v>
      </c>
      <c r="I30">
        <v>23589.4</v>
      </c>
      <c r="J30">
        <v>0.1823204419889502</v>
      </c>
      <c r="K30">
        <v>158.69834254099999</v>
      </c>
      <c r="L30">
        <v>130.32817679600001</v>
      </c>
    </row>
    <row r="31" spans="1:12" x14ac:dyDescent="0.25">
      <c r="A31" s="1">
        <v>45627</v>
      </c>
      <c r="B31" s="2" t="s">
        <v>13</v>
      </c>
      <c r="C31">
        <v>1997</v>
      </c>
      <c r="D31">
        <v>342</v>
      </c>
      <c r="E31">
        <v>391970</v>
      </c>
      <c r="F31">
        <v>82313.7</v>
      </c>
      <c r="G31">
        <v>309656.3</v>
      </c>
      <c r="H31">
        <v>54265.1</v>
      </c>
      <c r="I31">
        <v>255391.2</v>
      </c>
      <c r="J31">
        <v>0.17125688532799199</v>
      </c>
      <c r="K31">
        <v>155.06074111199999</v>
      </c>
      <c r="L31">
        <v>127.887431147</v>
      </c>
    </row>
    <row r="32" spans="1:12" x14ac:dyDescent="0.25">
      <c r="A32" s="1">
        <v>45627</v>
      </c>
      <c r="B32" s="2" t="s">
        <v>14</v>
      </c>
      <c r="C32">
        <v>737</v>
      </c>
      <c r="D32">
        <v>65</v>
      </c>
      <c r="E32">
        <v>142850</v>
      </c>
      <c r="F32">
        <v>29998.5</v>
      </c>
      <c r="G32">
        <v>112851.5</v>
      </c>
      <c r="H32">
        <v>9638</v>
      </c>
      <c r="I32">
        <v>103213.5</v>
      </c>
      <c r="J32">
        <v>8.8195386702849293E-2</v>
      </c>
      <c r="K32">
        <v>153.122795115</v>
      </c>
      <c r="L32">
        <v>140.04545454500001</v>
      </c>
    </row>
    <row r="33" spans="1:12" x14ac:dyDescent="0.25">
      <c r="A33" s="1">
        <v>45627</v>
      </c>
      <c r="B33" s="2" t="s">
        <v>15</v>
      </c>
      <c r="C33">
        <v>517</v>
      </c>
      <c r="D33">
        <v>24</v>
      </c>
      <c r="E33">
        <v>99340</v>
      </c>
      <c r="F33">
        <v>0</v>
      </c>
      <c r="G33">
        <v>99340</v>
      </c>
      <c r="H33">
        <v>5290</v>
      </c>
      <c r="I33">
        <v>94050</v>
      </c>
      <c r="J33">
        <v>4.6421663442939999E-2</v>
      </c>
      <c r="K33">
        <v>192.147001934</v>
      </c>
      <c r="L33">
        <v>181.91489361699999</v>
      </c>
    </row>
    <row r="34" spans="1:12" x14ac:dyDescent="0.25">
      <c r="A34" s="1">
        <v>45658</v>
      </c>
      <c r="B34" s="2" t="s">
        <v>12</v>
      </c>
      <c r="C34">
        <v>96</v>
      </c>
      <c r="D34">
        <v>10</v>
      </c>
      <c r="E34">
        <v>17520</v>
      </c>
      <c r="F34">
        <v>3679.2</v>
      </c>
      <c r="G34">
        <v>13840.8</v>
      </c>
      <c r="H34">
        <v>1279.8</v>
      </c>
      <c r="I34">
        <v>12561</v>
      </c>
      <c r="J34">
        <v>0.1041666666666666</v>
      </c>
      <c r="K34">
        <v>144.17500000000001</v>
      </c>
      <c r="L34">
        <v>130.84375</v>
      </c>
    </row>
    <row r="35" spans="1:12" x14ac:dyDescent="0.25">
      <c r="A35" s="1">
        <v>45658</v>
      </c>
      <c r="B35" s="2" t="s">
        <v>13</v>
      </c>
      <c r="C35">
        <v>1179</v>
      </c>
      <c r="D35">
        <v>217</v>
      </c>
      <c r="E35">
        <v>235470</v>
      </c>
      <c r="F35">
        <v>49448.7</v>
      </c>
      <c r="G35">
        <v>186021.3</v>
      </c>
      <c r="H35">
        <v>35320.9</v>
      </c>
      <c r="I35">
        <v>150700.4</v>
      </c>
      <c r="J35">
        <v>0.18405428329092449</v>
      </c>
      <c r="K35">
        <v>157.778880407</v>
      </c>
      <c r="L35">
        <v>127.82052586899999</v>
      </c>
    </row>
    <row r="36" spans="1:12" x14ac:dyDescent="0.25">
      <c r="A36" s="1">
        <v>45658</v>
      </c>
      <c r="B36" s="2" t="s">
        <v>14</v>
      </c>
      <c r="C36">
        <v>427</v>
      </c>
      <c r="D36">
        <v>49</v>
      </c>
      <c r="E36">
        <v>81300</v>
      </c>
      <c r="F36">
        <v>17073</v>
      </c>
      <c r="G36">
        <v>64227</v>
      </c>
      <c r="H36">
        <v>7031</v>
      </c>
      <c r="I36">
        <v>57196</v>
      </c>
      <c r="J36">
        <v>0.1147540983606557</v>
      </c>
      <c r="K36">
        <v>150.41451990600001</v>
      </c>
      <c r="L36">
        <v>133.948477752</v>
      </c>
    </row>
    <row r="37" spans="1:12" x14ac:dyDescent="0.25">
      <c r="A37" s="1">
        <v>45658</v>
      </c>
      <c r="B37" s="2" t="s">
        <v>15</v>
      </c>
      <c r="C37">
        <v>314</v>
      </c>
      <c r="D37">
        <v>21</v>
      </c>
      <c r="E37">
        <v>61810</v>
      </c>
      <c r="F37">
        <v>0</v>
      </c>
      <c r="G37">
        <v>61810</v>
      </c>
      <c r="H37">
        <v>4480</v>
      </c>
      <c r="I37">
        <v>57330</v>
      </c>
      <c r="J37">
        <v>6.6878980891719703E-2</v>
      </c>
      <c r="K37">
        <v>196.84713375800001</v>
      </c>
      <c r="L37">
        <v>182.579617834</v>
      </c>
    </row>
    <row r="38" spans="1:12" x14ac:dyDescent="0.25">
      <c r="A38" s="1">
        <v>45689</v>
      </c>
      <c r="B38" s="2" t="s">
        <v>12</v>
      </c>
      <c r="C38">
        <v>98</v>
      </c>
      <c r="D38">
        <v>15</v>
      </c>
      <c r="E38">
        <v>19790</v>
      </c>
      <c r="F38">
        <v>4155.8999999999996</v>
      </c>
      <c r="G38">
        <v>15634.1</v>
      </c>
      <c r="H38">
        <v>2196.1999999999998</v>
      </c>
      <c r="I38">
        <v>13437.9</v>
      </c>
      <c r="J38">
        <v>0.15306122448979589</v>
      </c>
      <c r="K38">
        <v>159.531632653</v>
      </c>
      <c r="L38">
        <v>137.121428571</v>
      </c>
    </row>
    <row r="39" spans="1:12" x14ac:dyDescent="0.25">
      <c r="A39" s="1">
        <v>45689</v>
      </c>
      <c r="B39" s="2" t="s">
        <v>13</v>
      </c>
      <c r="C39">
        <v>1034</v>
      </c>
      <c r="D39">
        <v>194</v>
      </c>
      <c r="E39">
        <v>213400</v>
      </c>
      <c r="F39">
        <v>44814</v>
      </c>
      <c r="G39">
        <v>168586</v>
      </c>
      <c r="H39">
        <v>29941</v>
      </c>
      <c r="I39">
        <v>138645</v>
      </c>
      <c r="J39">
        <v>0.18762088974854929</v>
      </c>
      <c r="K39">
        <v>163.042553191</v>
      </c>
      <c r="L39">
        <v>134.08607350099999</v>
      </c>
    </row>
    <row r="40" spans="1:12" x14ac:dyDescent="0.25">
      <c r="A40" s="1">
        <v>45689</v>
      </c>
      <c r="B40" s="2" t="s">
        <v>14</v>
      </c>
      <c r="C40">
        <v>331</v>
      </c>
      <c r="D40">
        <v>28</v>
      </c>
      <c r="E40">
        <v>65690</v>
      </c>
      <c r="F40">
        <v>13794.9</v>
      </c>
      <c r="G40">
        <v>51895.1</v>
      </c>
      <c r="H40">
        <v>4819</v>
      </c>
      <c r="I40">
        <v>47076.1</v>
      </c>
      <c r="J40">
        <v>8.4592145015105702E-2</v>
      </c>
      <c r="K40">
        <v>156.78277945599999</v>
      </c>
      <c r="L40">
        <v>142.22386706899999</v>
      </c>
    </row>
    <row r="41" spans="1:12" x14ac:dyDescent="0.25">
      <c r="A41" s="1">
        <v>45689</v>
      </c>
      <c r="B41" s="2" t="s">
        <v>15</v>
      </c>
      <c r="C41">
        <v>256</v>
      </c>
      <c r="D41">
        <v>15</v>
      </c>
      <c r="E41">
        <v>50380</v>
      </c>
      <c r="F41">
        <v>0</v>
      </c>
      <c r="G41">
        <v>50380</v>
      </c>
      <c r="H41">
        <v>3180</v>
      </c>
      <c r="I41">
        <v>47200</v>
      </c>
      <c r="J41">
        <v>5.859375E-2</v>
      </c>
      <c r="K41">
        <v>196.796875</v>
      </c>
      <c r="L41">
        <v>184.375</v>
      </c>
    </row>
    <row r="42" spans="1:12" x14ac:dyDescent="0.25">
      <c r="A42" s="1">
        <v>45717</v>
      </c>
      <c r="B42" s="2" t="s">
        <v>12</v>
      </c>
      <c r="C42">
        <v>103</v>
      </c>
      <c r="D42">
        <v>11</v>
      </c>
      <c r="E42">
        <v>19180</v>
      </c>
      <c r="F42">
        <v>4027.8</v>
      </c>
      <c r="G42">
        <v>15152.2</v>
      </c>
      <c r="H42">
        <v>1303.5</v>
      </c>
      <c r="I42">
        <v>13848.7</v>
      </c>
      <c r="J42">
        <v>0.10679611650485429</v>
      </c>
      <c r="K42">
        <v>147.10873786400001</v>
      </c>
      <c r="L42">
        <v>134.453398058</v>
      </c>
    </row>
    <row r="43" spans="1:12" x14ac:dyDescent="0.25">
      <c r="A43" s="1">
        <v>45717</v>
      </c>
      <c r="B43" s="2" t="s">
        <v>13</v>
      </c>
      <c r="C43">
        <v>1412</v>
      </c>
      <c r="D43">
        <v>252</v>
      </c>
      <c r="E43">
        <v>276560</v>
      </c>
      <c r="F43">
        <v>58077.599999999999</v>
      </c>
      <c r="G43">
        <v>218482.4</v>
      </c>
      <c r="H43">
        <v>40361.1</v>
      </c>
      <c r="I43">
        <v>178121.3</v>
      </c>
      <c r="J43">
        <v>0.17847025495750701</v>
      </c>
      <c r="K43">
        <v>154.73257790400001</v>
      </c>
      <c r="L43">
        <v>126.148229462</v>
      </c>
    </row>
    <row r="44" spans="1:12" x14ac:dyDescent="0.25">
      <c r="A44" s="1">
        <v>45717</v>
      </c>
      <c r="B44" s="2" t="s">
        <v>14</v>
      </c>
      <c r="C44">
        <v>488</v>
      </c>
      <c r="D44">
        <v>61</v>
      </c>
      <c r="E44">
        <v>99400</v>
      </c>
      <c r="F44">
        <v>20874</v>
      </c>
      <c r="G44">
        <v>78526</v>
      </c>
      <c r="H44">
        <v>11470.8</v>
      </c>
      <c r="I44">
        <v>67055.199999999997</v>
      </c>
      <c r="J44">
        <v>0.125</v>
      </c>
      <c r="K44">
        <v>160.913934426</v>
      </c>
      <c r="L44">
        <v>137.408196721</v>
      </c>
    </row>
    <row r="45" spans="1:12" x14ac:dyDescent="0.25">
      <c r="A45" s="1">
        <v>45717</v>
      </c>
      <c r="B45" s="2" t="s">
        <v>15</v>
      </c>
      <c r="C45">
        <v>364</v>
      </c>
      <c r="D45">
        <v>18</v>
      </c>
      <c r="E45">
        <v>71610</v>
      </c>
      <c r="F45">
        <v>0</v>
      </c>
      <c r="G45">
        <v>71610</v>
      </c>
      <c r="H45">
        <v>4520</v>
      </c>
      <c r="I45">
        <v>67090</v>
      </c>
      <c r="J45">
        <v>4.94505494505494E-2</v>
      </c>
      <c r="K45">
        <v>196.73076923100001</v>
      </c>
      <c r="L45">
        <v>184.31318681299999</v>
      </c>
    </row>
    <row r="46" spans="1:12" x14ac:dyDescent="0.25">
      <c r="A46" s="1">
        <v>45748</v>
      </c>
      <c r="B46" s="2" t="s">
        <v>12</v>
      </c>
      <c r="C46">
        <v>148</v>
      </c>
      <c r="D46">
        <v>19</v>
      </c>
      <c r="E46">
        <v>25640</v>
      </c>
      <c r="F46">
        <v>5384.4</v>
      </c>
      <c r="G46">
        <v>20255.599999999999</v>
      </c>
      <c r="H46">
        <v>3041.5</v>
      </c>
      <c r="I46">
        <v>17214.099999999999</v>
      </c>
      <c r="J46">
        <v>0.12837837837837829</v>
      </c>
      <c r="K46">
        <v>136.862162162</v>
      </c>
      <c r="L46">
        <v>116.31148648600001</v>
      </c>
    </row>
    <row r="47" spans="1:12" x14ac:dyDescent="0.25">
      <c r="A47" s="1">
        <v>45748</v>
      </c>
      <c r="B47" s="2" t="s">
        <v>13</v>
      </c>
      <c r="C47">
        <v>1500</v>
      </c>
      <c r="D47">
        <v>286</v>
      </c>
      <c r="E47">
        <v>291040</v>
      </c>
      <c r="F47">
        <v>61118.400000000001</v>
      </c>
      <c r="G47">
        <v>229921.6</v>
      </c>
      <c r="H47">
        <v>42636.3</v>
      </c>
      <c r="I47">
        <v>187285.3</v>
      </c>
      <c r="J47">
        <v>0.1906666666666666</v>
      </c>
      <c r="K47">
        <v>153.281066667</v>
      </c>
      <c r="L47">
        <v>124.85686666700001</v>
      </c>
    </row>
    <row r="48" spans="1:12" x14ac:dyDescent="0.25">
      <c r="A48" s="1">
        <v>45748</v>
      </c>
      <c r="B48" s="2" t="s">
        <v>14</v>
      </c>
      <c r="C48">
        <v>484</v>
      </c>
      <c r="D48">
        <v>76</v>
      </c>
      <c r="E48">
        <v>93720</v>
      </c>
      <c r="F48">
        <v>19681.2</v>
      </c>
      <c r="G48">
        <v>74038.8</v>
      </c>
      <c r="H48">
        <v>11778.9</v>
      </c>
      <c r="I48">
        <v>62259.9</v>
      </c>
      <c r="J48">
        <v>0.1570247933884297</v>
      </c>
      <c r="K48">
        <v>152.972727273</v>
      </c>
      <c r="L48">
        <v>128.63615702499999</v>
      </c>
    </row>
    <row r="49" spans="1:12" x14ac:dyDescent="0.25">
      <c r="A49" s="1">
        <v>45748</v>
      </c>
      <c r="B49" s="2" t="s">
        <v>15</v>
      </c>
      <c r="C49">
        <v>374</v>
      </c>
      <c r="D49">
        <v>17</v>
      </c>
      <c r="E49">
        <v>70780</v>
      </c>
      <c r="F49">
        <v>0</v>
      </c>
      <c r="G49">
        <v>70780</v>
      </c>
      <c r="H49">
        <v>4150</v>
      </c>
      <c r="I49">
        <v>66630</v>
      </c>
      <c r="J49">
        <v>4.54545454545454E-2</v>
      </c>
      <c r="K49">
        <v>189.25133689800001</v>
      </c>
      <c r="L49">
        <v>178.15508021400001</v>
      </c>
    </row>
    <row r="50" spans="1:12" x14ac:dyDescent="0.25">
      <c r="A50" s="1">
        <v>45778</v>
      </c>
      <c r="B50" s="2" t="s">
        <v>12</v>
      </c>
      <c r="C50">
        <v>161</v>
      </c>
      <c r="D50">
        <v>26</v>
      </c>
      <c r="E50">
        <v>31440</v>
      </c>
      <c r="F50">
        <v>6602.4</v>
      </c>
      <c r="G50">
        <v>24837.599999999999</v>
      </c>
      <c r="H50">
        <v>3673.5</v>
      </c>
      <c r="I50">
        <v>21164.1</v>
      </c>
      <c r="J50">
        <v>0.16149068322981361</v>
      </c>
      <c r="K50">
        <v>154.270807453</v>
      </c>
      <c r="L50">
        <v>131.45403726699999</v>
      </c>
    </row>
    <row r="51" spans="1:12" x14ac:dyDescent="0.25">
      <c r="A51" s="1">
        <v>45778</v>
      </c>
      <c r="B51" s="2" t="s">
        <v>13</v>
      </c>
      <c r="C51">
        <v>1623</v>
      </c>
      <c r="D51">
        <v>270</v>
      </c>
      <c r="E51">
        <v>317900</v>
      </c>
      <c r="F51">
        <v>66759</v>
      </c>
      <c r="G51">
        <v>251141</v>
      </c>
      <c r="H51">
        <v>44769.3</v>
      </c>
      <c r="I51">
        <v>206371.7</v>
      </c>
      <c r="J51">
        <v>0.166358595194085</v>
      </c>
      <c r="K51">
        <v>154.73875539100001</v>
      </c>
      <c r="L51">
        <v>127.154467036</v>
      </c>
    </row>
    <row r="52" spans="1:12" x14ac:dyDescent="0.25">
      <c r="A52" s="1">
        <v>45778</v>
      </c>
      <c r="B52" s="2" t="s">
        <v>14</v>
      </c>
      <c r="C52">
        <v>514</v>
      </c>
      <c r="D52">
        <v>69</v>
      </c>
      <c r="E52">
        <v>95750</v>
      </c>
      <c r="F52">
        <v>20107.5</v>
      </c>
      <c r="G52">
        <v>75642.5</v>
      </c>
      <c r="H52">
        <v>10206.799999999999</v>
      </c>
      <c r="I52">
        <v>65435.7</v>
      </c>
      <c r="J52">
        <v>0.13424124513618671</v>
      </c>
      <c r="K52">
        <v>147.16439688700001</v>
      </c>
      <c r="L52">
        <v>127.306809339</v>
      </c>
    </row>
    <row r="53" spans="1:12" x14ac:dyDescent="0.25">
      <c r="A53" s="1">
        <v>45778</v>
      </c>
      <c r="B53" s="2" t="s">
        <v>15</v>
      </c>
      <c r="C53">
        <v>380</v>
      </c>
      <c r="D53">
        <v>18</v>
      </c>
      <c r="E53">
        <v>73050</v>
      </c>
      <c r="F53">
        <v>0</v>
      </c>
      <c r="G53">
        <v>73050</v>
      </c>
      <c r="H53">
        <v>4100</v>
      </c>
      <c r="I53">
        <v>68950</v>
      </c>
      <c r="J53">
        <v>4.7368421052631497E-2</v>
      </c>
      <c r="K53">
        <v>192.23684210499999</v>
      </c>
      <c r="L53">
        <v>181.44736842099999</v>
      </c>
    </row>
    <row r="54" spans="1:12" x14ac:dyDescent="0.25">
      <c r="A54" s="1">
        <v>45809</v>
      </c>
      <c r="B54" s="2" t="s">
        <v>12</v>
      </c>
      <c r="C54">
        <v>151</v>
      </c>
      <c r="D54">
        <v>23</v>
      </c>
      <c r="E54">
        <v>28980</v>
      </c>
      <c r="F54">
        <v>6085.8</v>
      </c>
      <c r="G54">
        <v>22894.2</v>
      </c>
      <c r="H54">
        <v>2701.8</v>
      </c>
      <c r="I54">
        <v>20192.400000000001</v>
      </c>
      <c r="J54">
        <v>0.15231788079470199</v>
      </c>
      <c r="K54">
        <v>151.61721854300001</v>
      </c>
      <c r="L54">
        <v>133.72450331100001</v>
      </c>
    </row>
    <row r="55" spans="1:12" x14ac:dyDescent="0.25">
      <c r="A55" s="1">
        <v>45809</v>
      </c>
      <c r="B55" s="2" t="s">
        <v>13</v>
      </c>
      <c r="C55">
        <v>1603</v>
      </c>
      <c r="D55">
        <v>289</v>
      </c>
      <c r="E55">
        <v>326700</v>
      </c>
      <c r="F55">
        <v>68607</v>
      </c>
      <c r="G55">
        <v>258093</v>
      </c>
      <c r="H55">
        <v>42699.5</v>
      </c>
      <c r="I55">
        <v>215393.5</v>
      </c>
      <c r="J55">
        <v>0.1802869619463506</v>
      </c>
      <c r="K55">
        <v>161.006238303</v>
      </c>
      <c r="L55">
        <v>134.368995633</v>
      </c>
    </row>
    <row r="56" spans="1:12" x14ac:dyDescent="0.25">
      <c r="A56" s="1">
        <v>45809</v>
      </c>
      <c r="B56" s="2" t="s">
        <v>14</v>
      </c>
      <c r="C56">
        <v>606</v>
      </c>
      <c r="D56">
        <v>79</v>
      </c>
      <c r="E56">
        <v>128420</v>
      </c>
      <c r="F56">
        <v>26968.2</v>
      </c>
      <c r="G56">
        <v>101451.8</v>
      </c>
      <c r="H56">
        <v>13430</v>
      </c>
      <c r="I56">
        <v>88021.8</v>
      </c>
      <c r="J56">
        <v>0.1303630363036303</v>
      </c>
      <c r="K56">
        <v>167.41221122100001</v>
      </c>
      <c r="L56">
        <v>145.25049505000001</v>
      </c>
    </row>
    <row r="57" spans="1:12" x14ac:dyDescent="0.25">
      <c r="A57" s="1">
        <v>45809</v>
      </c>
      <c r="B57" s="2" t="s">
        <v>15</v>
      </c>
      <c r="C57">
        <v>445</v>
      </c>
      <c r="D57">
        <v>17</v>
      </c>
      <c r="E57">
        <v>88340</v>
      </c>
      <c r="F57">
        <v>0</v>
      </c>
      <c r="G57">
        <v>88340</v>
      </c>
      <c r="H57">
        <v>2720</v>
      </c>
      <c r="I57">
        <v>85620</v>
      </c>
      <c r="J57">
        <v>3.8202247191011202E-2</v>
      </c>
      <c r="K57">
        <v>198.51685393299999</v>
      </c>
      <c r="L57">
        <v>192.404494382</v>
      </c>
    </row>
    <row r="58" spans="1:12" x14ac:dyDescent="0.25">
      <c r="A58" s="1">
        <v>45839</v>
      </c>
      <c r="B58" s="2" t="s">
        <v>12</v>
      </c>
      <c r="C58">
        <v>145</v>
      </c>
      <c r="D58">
        <v>19</v>
      </c>
      <c r="E58">
        <v>27550</v>
      </c>
      <c r="F58">
        <v>5785.5</v>
      </c>
      <c r="G58">
        <v>21764.5</v>
      </c>
      <c r="H58">
        <v>2717.6</v>
      </c>
      <c r="I58">
        <v>19046.900000000001</v>
      </c>
      <c r="J58">
        <v>0.1310344827586207</v>
      </c>
      <c r="K58">
        <v>150.1</v>
      </c>
      <c r="L58">
        <v>131.35793103399999</v>
      </c>
    </row>
    <row r="59" spans="1:12" x14ac:dyDescent="0.25">
      <c r="A59" s="1">
        <v>45839</v>
      </c>
      <c r="B59" s="2" t="s">
        <v>13</v>
      </c>
      <c r="C59">
        <v>1654</v>
      </c>
      <c r="D59">
        <v>315</v>
      </c>
      <c r="E59">
        <v>327990</v>
      </c>
      <c r="F59">
        <v>68877.899999999994</v>
      </c>
      <c r="G59">
        <v>259112.1</v>
      </c>
      <c r="H59">
        <v>51626.5</v>
      </c>
      <c r="I59">
        <v>207485.6</v>
      </c>
      <c r="J59">
        <v>0.1904474002418379</v>
      </c>
      <c r="K59">
        <v>156.657859734</v>
      </c>
      <c r="L59">
        <v>125.444740024</v>
      </c>
    </row>
    <row r="60" spans="1:12" x14ac:dyDescent="0.25">
      <c r="A60" s="1">
        <v>45839</v>
      </c>
      <c r="B60" s="2" t="s">
        <v>14</v>
      </c>
      <c r="C60">
        <v>486</v>
      </c>
      <c r="D60">
        <v>88</v>
      </c>
      <c r="E60">
        <v>94330</v>
      </c>
      <c r="F60">
        <v>19809.3</v>
      </c>
      <c r="G60">
        <v>74520.7</v>
      </c>
      <c r="H60">
        <v>12197.6</v>
      </c>
      <c r="I60">
        <v>62323.1</v>
      </c>
      <c r="J60">
        <v>0.18106995884773661</v>
      </c>
      <c r="K60">
        <v>153.33477366299999</v>
      </c>
      <c r="L60">
        <v>128.236831276</v>
      </c>
    </row>
    <row r="61" spans="1:12" x14ac:dyDescent="0.25">
      <c r="A61" s="1">
        <v>45839</v>
      </c>
      <c r="B61" s="2" t="s">
        <v>15</v>
      </c>
      <c r="C61">
        <v>437</v>
      </c>
      <c r="D61">
        <v>18</v>
      </c>
      <c r="E61">
        <v>85750</v>
      </c>
      <c r="F61">
        <v>0</v>
      </c>
      <c r="G61">
        <v>85750</v>
      </c>
      <c r="H61">
        <v>2810</v>
      </c>
      <c r="I61">
        <v>82940</v>
      </c>
      <c r="J61">
        <v>4.1189931350114402E-2</v>
      </c>
      <c r="K61">
        <v>196.224256293</v>
      </c>
      <c r="L61">
        <v>189.79405034300001</v>
      </c>
    </row>
    <row r="62" spans="1:12" x14ac:dyDescent="0.25">
      <c r="A62" s="1">
        <v>45870</v>
      </c>
      <c r="B62" s="2" t="s">
        <v>12</v>
      </c>
      <c r="C62">
        <v>110</v>
      </c>
      <c r="D62">
        <v>12</v>
      </c>
      <c r="E62">
        <v>20830</v>
      </c>
      <c r="F62">
        <v>4374.3</v>
      </c>
      <c r="G62">
        <v>16455.7</v>
      </c>
      <c r="H62">
        <v>1390.4</v>
      </c>
      <c r="I62">
        <v>15065.3</v>
      </c>
      <c r="J62">
        <v>0.109090909090909</v>
      </c>
      <c r="K62">
        <v>149.59727272699999</v>
      </c>
      <c r="L62">
        <v>136.957272727</v>
      </c>
    </row>
    <row r="63" spans="1:12" x14ac:dyDescent="0.25">
      <c r="A63" s="1">
        <v>45870</v>
      </c>
      <c r="B63" s="2" t="s">
        <v>13</v>
      </c>
      <c r="C63">
        <v>1538</v>
      </c>
      <c r="D63">
        <v>271</v>
      </c>
      <c r="E63">
        <v>297110</v>
      </c>
      <c r="F63">
        <v>62393.1</v>
      </c>
      <c r="G63">
        <v>234716.9</v>
      </c>
      <c r="H63">
        <v>43110.3</v>
      </c>
      <c r="I63">
        <v>191606.6</v>
      </c>
      <c r="J63">
        <v>0.1762028608582574</v>
      </c>
      <c r="K63">
        <v>152.611768531</v>
      </c>
      <c r="L63">
        <v>124.581664499</v>
      </c>
    </row>
    <row r="64" spans="1:12" x14ac:dyDescent="0.25">
      <c r="A64" s="1">
        <v>45870</v>
      </c>
      <c r="B64" s="2" t="s">
        <v>14</v>
      </c>
      <c r="C64">
        <v>542</v>
      </c>
      <c r="D64">
        <v>53</v>
      </c>
      <c r="E64">
        <v>106090</v>
      </c>
      <c r="F64">
        <v>22278.9</v>
      </c>
      <c r="G64">
        <v>83811.100000000006</v>
      </c>
      <c r="H64">
        <v>7915.8</v>
      </c>
      <c r="I64">
        <v>75895.3</v>
      </c>
      <c r="J64">
        <v>9.7785977859778495E-2</v>
      </c>
      <c r="K64">
        <v>154.63302583000001</v>
      </c>
      <c r="L64">
        <v>140.02822878200001</v>
      </c>
    </row>
    <row r="65" spans="1:12" x14ac:dyDescent="0.25">
      <c r="A65" s="1">
        <v>45870</v>
      </c>
      <c r="B65" s="2" t="s">
        <v>15</v>
      </c>
      <c r="C65">
        <v>367</v>
      </c>
      <c r="D65">
        <v>7</v>
      </c>
      <c r="E65">
        <v>71360</v>
      </c>
      <c r="F65">
        <v>0</v>
      </c>
      <c r="G65">
        <v>71360</v>
      </c>
      <c r="H65">
        <v>2030</v>
      </c>
      <c r="I65">
        <v>69330</v>
      </c>
      <c r="J65">
        <v>1.9073569482288801E-2</v>
      </c>
      <c r="K65">
        <v>194.44141689400001</v>
      </c>
      <c r="L65">
        <v>188.910081744</v>
      </c>
    </row>
    <row r="66" spans="1:12" x14ac:dyDescent="0.25">
      <c r="A66" s="1">
        <v>45901</v>
      </c>
      <c r="B66" s="2" t="s">
        <v>12</v>
      </c>
      <c r="C66">
        <v>141</v>
      </c>
      <c r="D66">
        <v>20</v>
      </c>
      <c r="E66">
        <v>30030</v>
      </c>
      <c r="F66">
        <v>6306.3</v>
      </c>
      <c r="G66">
        <v>23723.7</v>
      </c>
      <c r="H66">
        <v>2425.3000000000002</v>
      </c>
      <c r="I66">
        <v>21298.400000000001</v>
      </c>
      <c r="J66">
        <v>0.1418439716312056</v>
      </c>
      <c r="K66">
        <v>168.25319148899999</v>
      </c>
      <c r="L66">
        <v>151.05248227000001</v>
      </c>
    </row>
    <row r="67" spans="1:12" x14ac:dyDescent="0.25">
      <c r="A67" s="1">
        <v>45901</v>
      </c>
      <c r="B67" s="2" t="s">
        <v>13</v>
      </c>
      <c r="C67">
        <v>1658</v>
      </c>
      <c r="D67">
        <v>298</v>
      </c>
      <c r="E67">
        <v>323000</v>
      </c>
      <c r="F67">
        <v>67830</v>
      </c>
      <c r="G67">
        <v>255170</v>
      </c>
      <c r="H67">
        <v>44437.5</v>
      </c>
      <c r="I67">
        <v>210732.5</v>
      </c>
      <c r="J67">
        <v>0.17973462002412541</v>
      </c>
      <c r="K67">
        <v>153.902291918</v>
      </c>
      <c r="L67">
        <v>127.10042219499999</v>
      </c>
    </row>
    <row r="68" spans="1:12" x14ac:dyDescent="0.25">
      <c r="A68" s="1">
        <v>45901</v>
      </c>
      <c r="B68" s="2" t="s">
        <v>14</v>
      </c>
      <c r="C68">
        <v>519</v>
      </c>
      <c r="D68">
        <v>70</v>
      </c>
      <c r="E68">
        <v>101060</v>
      </c>
      <c r="F68">
        <v>21222.6</v>
      </c>
      <c r="G68">
        <v>79837.399999999994</v>
      </c>
      <c r="H68">
        <v>11597.2</v>
      </c>
      <c r="I68">
        <v>68240.2</v>
      </c>
      <c r="J68">
        <v>0.13487475915221581</v>
      </c>
      <c r="K68">
        <v>153.829287091</v>
      </c>
      <c r="L68">
        <v>131.48400770699999</v>
      </c>
    </row>
    <row r="69" spans="1:12" x14ac:dyDescent="0.25">
      <c r="A69" s="1">
        <v>45901</v>
      </c>
      <c r="B69" s="2" t="s">
        <v>15</v>
      </c>
      <c r="C69">
        <v>371</v>
      </c>
      <c r="D69">
        <v>20</v>
      </c>
      <c r="E69">
        <v>72550</v>
      </c>
      <c r="F69">
        <v>0</v>
      </c>
      <c r="G69">
        <v>72550</v>
      </c>
      <c r="H69">
        <v>2700</v>
      </c>
      <c r="I69">
        <v>69850</v>
      </c>
      <c r="J69">
        <v>5.3908355795148202E-2</v>
      </c>
      <c r="K69">
        <v>195.55256064700001</v>
      </c>
      <c r="L69">
        <v>188.27493261500001</v>
      </c>
    </row>
    <row r="70" spans="1:12" x14ac:dyDescent="0.25">
      <c r="A70" s="1">
        <v>45931</v>
      </c>
      <c r="B70" s="2" t="s">
        <v>12</v>
      </c>
      <c r="C70">
        <v>129</v>
      </c>
      <c r="D70">
        <v>21</v>
      </c>
      <c r="E70">
        <v>27680</v>
      </c>
      <c r="F70">
        <v>5812.8</v>
      </c>
      <c r="G70">
        <v>21867.200000000001</v>
      </c>
      <c r="H70">
        <v>2930.9</v>
      </c>
      <c r="I70">
        <v>18936.3</v>
      </c>
      <c r="J70">
        <v>0.16279069767441859</v>
      </c>
      <c r="K70">
        <v>169.51317829499999</v>
      </c>
      <c r="L70">
        <v>146.793023256</v>
      </c>
    </row>
    <row r="71" spans="1:12" x14ac:dyDescent="0.25">
      <c r="A71" s="1">
        <v>45931</v>
      </c>
      <c r="B71" s="2" t="s">
        <v>13</v>
      </c>
      <c r="C71">
        <v>1748</v>
      </c>
      <c r="D71">
        <v>323</v>
      </c>
      <c r="E71">
        <v>340150</v>
      </c>
      <c r="F71">
        <v>71431.5</v>
      </c>
      <c r="G71">
        <v>268718.5</v>
      </c>
      <c r="H71">
        <v>47747.6</v>
      </c>
      <c r="I71">
        <v>220970.9</v>
      </c>
      <c r="J71">
        <v>0.18478260869565211</v>
      </c>
      <c r="K71">
        <v>153.72911899299999</v>
      </c>
      <c r="L71">
        <v>126.413558352</v>
      </c>
    </row>
    <row r="72" spans="1:12" x14ac:dyDescent="0.25">
      <c r="A72" s="1">
        <v>45931</v>
      </c>
      <c r="B72" s="2" t="s">
        <v>14</v>
      </c>
      <c r="C72">
        <v>557</v>
      </c>
      <c r="D72">
        <v>82</v>
      </c>
      <c r="E72">
        <v>109350</v>
      </c>
      <c r="F72">
        <v>22963.5</v>
      </c>
      <c r="G72">
        <v>86386.5</v>
      </c>
      <c r="H72">
        <v>11936.9</v>
      </c>
      <c r="I72">
        <v>74449.600000000006</v>
      </c>
      <c r="J72">
        <v>0.14721723518850979</v>
      </c>
      <c r="K72">
        <v>155.09245960499999</v>
      </c>
      <c r="L72">
        <v>133.66175942500001</v>
      </c>
    </row>
    <row r="73" spans="1:12" x14ac:dyDescent="0.25">
      <c r="A73" s="1">
        <v>45931</v>
      </c>
      <c r="B73" s="2" t="s">
        <v>15</v>
      </c>
      <c r="C73">
        <v>394</v>
      </c>
      <c r="D73">
        <v>20</v>
      </c>
      <c r="E73">
        <v>78860</v>
      </c>
      <c r="F73">
        <v>0</v>
      </c>
      <c r="G73">
        <v>78860</v>
      </c>
      <c r="H73">
        <v>3870</v>
      </c>
      <c r="I73">
        <v>74990</v>
      </c>
      <c r="J73">
        <v>5.0761421319796898E-2</v>
      </c>
      <c r="K73">
        <v>200.152284264</v>
      </c>
      <c r="L73">
        <v>190.329949239</v>
      </c>
    </row>
    <row r="74" spans="1:12" x14ac:dyDescent="0.25">
      <c r="A74" s="1">
        <v>45962</v>
      </c>
      <c r="B74" s="2" t="s">
        <v>12</v>
      </c>
      <c r="C74">
        <v>193</v>
      </c>
      <c r="D74">
        <v>27</v>
      </c>
      <c r="E74">
        <v>40530</v>
      </c>
      <c r="F74">
        <v>8511.2999999999993</v>
      </c>
      <c r="G74">
        <v>32018.7</v>
      </c>
      <c r="H74">
        <v>5040.2</v>
      </c>
      <c r="I74">
        <v>26978.5</v>
      </c>
      <c r="J74">
        <v>0.13989637305699479</v>
      </c>
      <c r="K74">
        <v>165.9</v>
      </c>
      <c r="L74">
        <v>139.78497409299999</v>
      </c>
    </row>
    <row r="75" spans="1:12" x14ac:dyDescent="0.25">
      <c r="A75" s="1">
        <v>45962</v>
      </c>
      <c r="B75" s="2" t="s">
        <v>13</v>
      </c>
      <c r="C75">
        <v>2142</v>
      </c>
      <c r="D75">
        <v>380</v>
      </c>
      <c r="E75">
        <v>419410</v>
      </c>
      <c r="F75">
        <v>88076.1</v>
      </c>
      <c r="G75">
        <v>331333.90000000002</v>
      </c>
      <c r="H75">
        <v>53396.1</v>
      </c>
      <c r="I75">
        <v>277937.8</v>
      </c>
      <c r="J75">
        <v>0.1774042950513538</v>
      </c>
      <c r="K75">
        <v>154.684360411</v>
      </c>
      <c r="L75">
        <v>129.75620914999999</v>
      </c>
    </row>
    <row r="76" spans="1:12" x14ac:dyDescent="0.25">
      <c r="A76" s="1">
        <v>45962</v>
      </c>
      <c r="B76" s="2" t="s">
        <v>14</v>
      </c>
      <c r="C76">
        <v>790</v>
      </c>
      <c r="D76">
        <v>118</v>
      </c>
      <c r="E76">
        <v>163620</v>
      </c>
      <c r="F76">
        <v>34360.199999999997</v>
      </c>
      <c r="G76">
        <v>129259.8</v>
      </c>
      <c r="H76">
        <v>17893.5</v>
      </c>
      <c r="I76">
        <v>111366.3</v>
      </c>
      <c r="J76">
        <v>0.1493670886075949</v>
      </c>
      <c r="K76">
        <v>163.62</v>
      </c>
      <c r="L76">
        <v>140.97</v>
      </c>
    </row>
    <row r="77" spans="1:12" x14ac:dyDescent="0.25">
      <c r="A77" s="1">
        <v>45962</v>
      </c>
      <c r="B77" s="2" t="s">
        <v>15</v>
      </c>
      <c r="C77">
        <v>483</v>
      </c>
      <c r="D77">
        <v>25</v>
      </c>
      <c r="E77">
        <v>98630</v>
      </c>
      <c r="F77">
        <v>0</v>
      </c>
      <c r="G77">
        <v>98630</v>
      </c>
      <c r="H77">
        <v>4970</v>
      </c>
      <c r="I77">
        <v>93660</v>
      </c>
      <c r="J77">
        <v>5.1759834368530003E-2</v>
      </c>
      <c r="K77">
        <v>204.202898551</v>
      </c>
      <c r="L77">
        <v>193.91304347799999</v>
      </c>
    </row>
    <row r="78" spans="1:12" x14ac:dyDescent="0.25">
      <c r="A78" s="1">
        <v>45992</v>
      </c>
      <c r="B78" s="2" t="s">
        <v>12</v>
      </c>
      <c r="C78">
        <v>187</v>
      </c>
      <c r="D78">
        <v>18</v>
      </c>
      <c r="E78">
        <v>34780</v>
      </c>
      <c r="F78">
        <v>7303.8</v>
      </c>
      <c r="G78">
        <v>27476.2</v>
      </c>
      <c r="H78">
        <v>3049.4</v>
      </c>
      <c r="I78">
        <v>24426.799999999999</v>
      </c>
      <c r="J78">
        <v>9.6256684491978606E-2</v>
      </c>
      <c r="K78">
        <v>146.931550802</v>
      </c>
      <c r="L78">
        <v>130.62459892999999</v>
      </c>
    </row>
    <row r="79" spans="1:12" x14ac:dyDescent="0.25">
      <c r="A79" s="1">
        <v>45992</v>
      </c>
      <c r="B79" s="2" t="s">
        <v>13</v>
      </c>
      <c r="C79">
        <v>2475</v>
      </c>
      <c r="D79">
        <v>445</v>
      </c>
      <c r="E79">
        <v>501600</v>
      </c>
      <c r="F79">
        <v>105336</v>
      </c>
      <c r="G79">
        <v>396264</v>
      </c>
      <c r="H79">
        <v>71629.3</v>
      </c>
      <c r="I79">
        <v>324634.7</v>
      </c>
      <c r="J79">
        <v>0.17979797979797971</v>
      </c>
      <c r="K79">
        <v>160.10666666700001</v>
      </c>
      <c r="L79">
        <v>131.16553535400001</v>
      </c>
    </row>
    <row r="80" spans="1:12" x14ac:dyDescent="0.25">
      <c r="A80" s="1">
        <v>45992</v>
      </c>
      <c r="B80" s="2" t="s">
        <v>14</v>
      </c>
      <c r="C80">
        <v>830</v>
      </c>
      <c r="D80">
        <v>103</v>
      </c>
      <c r="E80">
        <v>162300</v>
      </c>
      <c r="F80">
        <v>34083</v>
      </c>
      <c r="G80">
        <v>128217</v>
      </c>
      <c r="H80">
        <v>16566.3</v>
      </c>
      <c r="I80">
        <v>111650.7</v>
      </c>
      <c r="J80">
        <v>0.12409638554216861</v>
      </c>
      <c r="K80">
        <v>154.47831325300001</v>
      </c>
      <c r="L80">
        <v>134.518915663</v>
      </c>
    </row>
    <row r="81" spans="1:12" x14ac:dyDescent="0.25">
      <c r="A81" s="1">
        <v>45992</v>
      </c>
      <c r="B81" s="2" t="s">
        <v>15</v>
      </c>
      <c r="C81">
        <v>629</v>
      </c>
      <c r="D81">
        <v>23</v>
      </c>
      <c r="E81">
        <v>118870</v>
      </c>
      <c r="F81">
        <v>0</v>
      </c>
      <c r="G81">
        <v>118870</v>
      </c>
      <c r="H81">
        <v>3470</v>
      </c>
      <c r="I81">
        <v>115400</v>
      </c>
      <c r="J81">
        <v>3.6565977742448297E-2</v>
      </c>
      <c r="K81">
        <v>188.98251192399999</v>
      </c>
      <c r="L81">
        <v>183.46581875999999</v>
      </c>
    </row>
    <row r="82" spans="1:12" x14ac:dyDescent="0.25">
      <c r="A82" s="1">
        <v>46023</v>
      </c>
      <c r="B82" s="2" t="s">
        <v>12</v>
      </c>
      <c r="C82">
        <v>134</v>
      </c>
      <c r="D82">
        <v>26</v>
      </c>
      <c r="E82">
        <v>28340</v>
      </c>
      <c r="F82">
        <v>5951.4</v>
      </c>
      <c r="G82">
        <v>22388.6</v>
      </c>
      <c r="H82">
        <v>5214</v>
      </c>
      <c r="I82">
        <v>17174.599999999999</v>
      </c>
      <c r="J82">
        <v>0.19402985074626861</v>
      </c>
      <c r="K82">
        <v>167.079104478</v>
      </c>
      <c r="L82">
        <v>128.16865671599999</v>
      </c>
    </row>
    <row r="83" spans="1:12" x14ac:dyDescent="0.25">
      <c r="A83" s="1">
        <v>46023</v>
      </c>
      <c r="B83" s="2" t="s">
        <v>13</v>
      </c>
      <c r="C83">
        <v>1502</v>
      </c>
      <c r="D83">
        <v>267</v>
      </c>
      <c r="E83">
        <v>300450</v>
      </c>
      <c r="F83">
        <v>63094.5</v>
      </c>
      <c r="G83">
        <v>237355.5</v>
      </c>
      <c r="H83">
        <v>41190.6</v>
      </c>
      <c r="I83">
        <v>196164.9</v>
      </c>
      <c r="J83">
        <v>0.177762982689747</v>
      </c>
      <c r="K83">
        <v>158.02629826899999</v>
      </c>
      <c r="L83">
        <v>130.602463382</v>
      </c>
    </row>
    <row r="84" spans="1:12" x14ac:dyDescent="0.25">
      <c r="A84" s="1">
        <v>46023</v>
      </c>
      <c r="B84" s="2" t="s">
        <v>14</v>
      </c>
      <c r="C84">
        <v>466</v>
      </c>
      <c r="D84">
        <v>69</v>
      </c>
      <c r="E84">
        <v>91520</v>
      </c>
      <c r="F84">
        <v>19219.2</v>
      </c>
      <c r="G84">
        <v>72300.800000000003</v>
      </c>
      <c r="H84">
        <v>11162.7</v>
      </c>
      <c r="I84">
        <v>61138.1</v>
      </c>
      <c r="J84">
        <v>0.14806866952789699</v>
      </c>
      <c r="K84">
        <v>155.15193133</v>
      </c>
      <c r="L84">
        <v>131.197639485</v>
      </c>
    </row>
    <row r="85" spans="1:12" x14ac:dyDescent="0.25">
      <c r="A85" s="1">
        <v>46023</v>
      </c>
      <c r="B85" s="2" t="s">
        <v>15</v>
      </c>
      <c r="C85">
        <v>361</v>
      </c>
      <c r="D85">
        <v>12</v>
      </c>
      <c r="E85">
        <v>70890</v>
      </c>
      <c r="F85">
        <v>0</v>
      </c>
      <c r="G85">
        <v>70890</v>
      </c>
      <c r="H85">
        <v>2360</v>
      </c>
      <c r="I85">
        <v>68530</v>
      </c>
      <c r="J85">
        <v>3.3240997229916899E-2</v>
      </c>
      <c r="K85">
        <v>196.37119113599999</v>
      </c>
      <c r="L85">
        <v>189.833795014</v>
      </c>
    </row>
    <row r="86" spans="1:12" x14ac:dyDescent="0.25">
      <c r="A86" s="1">
        <v>46054</v>
      </c>
      <c r="B86" s="2" t="s">
        <v>12</v>
      </c>
      <c r="C86">
        <v>90</v>
      </c>
      <c r="D86">
        <v>18</v>
      </c>
      <c r="E86">
        <v>17710</v>
      </c>
      <c r="F86">
        <v>3719.1</v>
      </c>
      <c r="G86">
        <v>13990.9</v>
      </c>
      <c r="H86">
        <v>2899.3</v>
      </c>
      <c r="I86">
        <v>11091.6</v>
      </c>
      <c r="J86">
        <v>0.2</v>
      </c>
      <c r="K86">
        <v>155.45444444399999</v>
      </c>
      <c r="L86">
        <v>123.24</v>
      </c>
    </row>
    <row r="87" spans="1:12" x14ac:dyDescent="0.25">
      <c r="A87" s="1">
        <v>46054</v>
      </c>
      <c r="B87" s="2" t="s">
        <v>13</v>
      </c>
      <c r="C87">
        <v>1293</v>
      </c>
      <c r="D87">
        <v>211</v>
      </c>
      <c r="E87">
        <v>245930</v>
      </c>
      <c r="F87">
        <v>51645.3</v>
      </c>
      <c r="G87">
        <v>194284.7</v>
      </c>
      <c r="H87">
        <v>31473.599999999999</v>
      </c>
      <c r="I87">
        <v>162811.1</v>
      </c>
      <c r="J87">
        <v>0.1631863882443928</v>
      </c>
      <c r="K87">
        <v>150.258855375</v>
      </c>
      <c r="L87">
        <v>125.917324053</v>
      </c>
    </row>
    <row r="88" spans="1:12" x14ac:dyDescent="0.25">
      <c r="A88" s="1">
        <v>46054</v>
      </c>
      <c r="B88" s="2" t="s">
        <v>14</v>
      </c>
      <c r="C88">
        <v>452</v>
      </c>
      <c r="D88">
        <v>65</v>
      </c>
      <c r="E88">
        <v>87890</v>
      </c>
      <c r="F88">
        <v>18456.900000000001</v>
      </c>
      <c r="G88">
        <v>69433.100000000006</v>
      </c>
      <c r="H88">
        <v>11391.8</v>
      </c>
      <c r="I88">
        <v>58041.3</v>
      </c>
      <c r="J88">
        <v>0.14380530973451319</v>
      </c>
      <c r="K88">
        <v>153.61305309700001</v>
      </c>
      <c r="L88">
        <v>128.409955752</v>
      </c>
    </row>
    <row r="89" spans="1:12" x14ac:dyDescent="0.25">
      <c r="A89" s="1">
        <v>46054</v>
      </c>
      <c r="B89" s="2" t="s">
        <v>15</v>
      </c>
      <c r="C89">
        <v>295</v>
      </c>
      <c r="D89">
        <v>11</v>
      </c>
      <c r="E89">
        <v>56530</v>
      </c>
      <c r="F89">
        <v>0</v>
      </c>
      <c r="G89">
        <v>56530</v>
      </c>
      <c r="H89">
        <v>1480</v>
      </c>
      <c r="I89">
        <v>55050</v>
      </c>
      <c r="J89">
        <v>3.7288135593220299E-2</v>
      </c>
      <c r="K89">
        <v>191.62711864400001</v>
      </c>
      <c r="L89">
        <v>186.61016949200001</v>
      </c>
    </row>
    <row r="90" spans="1:12" x14ac:dyDescent="0.25">
      <c r="A90" s="1">
        <v>46082</v>
      </c>
      <c r="B90" s="2" t="s">
        <v>12</v>
      </c>
      <c r="C90">
        <v>165</v>
      </c>
      <c r="D90">
        <v>19</v>
      </c>
      <c r="E90">
        <v>31600</v>
      </c>
      <c r="F90">
        <v>6636</v>
      </c>
      <c r="G90">
        <v>24964</v>
      </c>
      <c r="H90">
        <v>3167.9</v>
      </c>
      <c r="I90">
        <v>21796.1</v>
      </c>
      <c r="J90">
        <v>0.1151515151515151</v>
      </c>
      <c r="K90">
        <v>151.29696969700001</v>
      </c>
      <c r="L90">
        <v>132.097575758</v>
      </c>
    </row>
    <row r="91" spans="1:12" x14ac:dyDescent="0.25">
      <c r="A91" s="1">
        <v>46082</v>
      </c>
      <c r="B91" s="2" t="s">
        <v>13</v>
      </c>
      <c r="C91">
        <v>1781</v>
      </c>
      <c r="D91">
        <v>313</v>
      </c>
      <c r="E91">
        <v>365610</v>
      </c>
      <c r="F91">
        <v>76778.100000000006</v>
      </c>
      <c r="G91">
        <v>288831.90000000002</v>
      </c>
      <c r="H91">
        <v>52092.6</v>
      </c>
      <c r="I91">
        <v>236739.3</v>
      </c>
      <c r="J91">
        <v>0.1757439640651319</v>
      </c>
      <c r="K91">
        <v>162.17400336899999</v>
      </c>
      <c r="L91">
        <v>132.92492981500001</v>
      </c>
    </row>
    <row r="92" spans="1:12" x14ac:dyDescent="0.25">
      <c r="A92" s="1">
        <v>46082</v>
      </c>
      <c r="B92" s="2" t="s">
        <v>14</v>
      </c>
      <c r="C92">
        <v>522</v>
      </c>
      <c r="D92">
        <v>72</v>
      </c>
      <c r="E92">
        <v>104090</v>
      </c>
      <c r="F92">
        <v>21858.9</v>
      </c>
      <c r="G92">
        <v>82231.100000000006</v>
      </c>
      <c r="H92">
        <v>12711.1</v>
      </c>
      <c r="I92">
        <v>69520</v>
      </c>
      <c r="J92">
        <v>0.13793103448275859</v>
      </c>
      <c r="K92">
        <v>157.530842912</v>
      </c>
      <c r="L92">
        <v>133.18007662799999</v>
      </c>
    </row>
    <row r="93" spans="1:12" x14ac:dyDescent="0.25">
      <c r="A93" s="1">
        <v>46082</v>
      </c>
      <c r="B93" s="2" t="s">
        <v>15</v>
      </c>
      <c r="C93">
        <v>424</v>
      </c>
      <c r="D93">
        <v>13</v>
      </c>
      <c r="E93">
        <v>86330</v>
      </c>
      <c r="F93">
        <v>0</v>
      </c>
      <c r="G93">
        <v>86330</v>
      </c>
      <c r="H93">
        <v>2430</v>
      </c>
      <c r="I93">
        <v>83900</v>
      </c>
      <c r="J93">
        <v>3.06603773584905E-2</v>
      </c>
      <c r="K93">
        <v>203.608490566</v>
      </c>
      <c r="L93">
        <v>197.877358491</v>
      </c>
    </row>
    <row r="94" spans="1:12" x14ac:dyDescent="0.25">
      <c r="A94" s="1">
        <v>46113</v>
      </c>
      <c r="B94" s="2" t="s">
        <v>12</v>
      </c>
      <c r="C94">
        <v>163</v>
      </c>
      <c r="D94">
        <v>24</v>
      </c>
      <c r="E94">
        <v>31950</v>
      </c>
      <c r="F94">
        <v>6709.5</v>
      </c>
      <c r="G94">
        <v>25240.5</v>
      </c>
      <c r="H94">
        <v>2875.6</v>
      </c>
      <c r="I94">
        <v>22364.9</v>
      </c>
      <c r="J94">
        <v>0.14723926380368099</v>
      </c>
      <c r="K94">
        <v>154.84969325200001</v>
      </c>
      <c r="L94">
        <v>137.20797546</v>
      </c>
    </row>
    <row r="95" spans="1:12" x14ac:dyDescent="0.25">
      <c r="A95" s="1">
        <v>46113</v>
      </c>
      <c r="B95" s="2" t="s">
        <v>13</v>
      </c>
      <c r="C95">
        <v>1811</v>
      </c>
      <c r="D95">
        <v>322</v>
      </c>
      <c r="E95">
        <v>380320</v>
      </c>
      <c r="F95">
        <v>79867.199999999997</v>
      </c>
      <c r="G95">
        <v>300452.8</v>
      </c>
      <c r="H95">
        <v>53625.2</v>
      </c>
      <c r="I95">
        <v>246827.6</v>
      </c>
      <c r="J95">
        <v>0.1778023191606847</v>
      </c>
      <c r="K95">
        <v>165.90436223099999</v>
      </c>
      <c r="L95">
        <v>136.29353948100001</v>
      </c>
    </row>
    <row r="96" spans="1:12" x14ac:dyDescent="0.25">
      <c r="A96" s="1">
        <v>46113</v>
      </c>
      <c r="B96" s="2" t="s">
        <v>14</v>
      </c>
      <c r="C96">
        <v>615</v>
      </c>
      <c r="D96">
        <v>87</v>
      </c>
      <c r="E96">
        <v>126550</v>
      </c>
      <c r="F96">
        <v>26575.5</v>
      </c>
      <c r="G96">
        <v>99974.5</v>
      </c>
      <c r="H96">
        <v>13967.2</v>
      </c>
      <c r="I96">
        <v>86007.3</v>
      </c>
      <c r="J96">
        <v>0.1414634146341463</v>
      </c>
      <c r="K96">
        <v>162.56016260199999</v>
      </c>
      <c r="L96">
        <v>139.84926829299999</v>
      </c>
    </row>
    <row r="97" spans="1:12" x14ac:dyDescent="0.25">
      <c r="A97" s="1">
        <v>46113</v>
      </c>
      <c r="B97" s="2" t="s">
        <v>15</v>
      </c>
      <c r="C97">
        <v>483</v>
      </c>
      <c r="D97">
        <v>19</v>
      </c>
      <c r="E97">
        <v>98130</v>
      </c>
      <c r="F97">
        <v>0</v>
      </c>
      <c r="G97">
        <v>98130</v>
      </c>
      <c r="H97">
        <v>4440</v>
      </c>
      <c r="I97">
        <v>93690</v>
      </c>
      <c r="J97">
        <v>3.9337474120082802E-2</v>
      </c>
      <c r="K97">
        <v>203.16770186299999</v>
      </c>
      <c r="L97">
        <v>193.97515528</v>
      </c>
    </row>
    <row r="98" spans="1:12" x14ac:dyDescent="0.25">
      <c r="A98" s="1">
        <v>46143</v>
      </c>
      <c r="B98" s="2" t="s">
        <v>12</v>
      </c>
      <c r="C98">
        <v>171</v>
      </c>
      <c r="D98">
        <v>26</v>
      </c>
      <c r="E98">
        <v>35390</v>
      </c>
      <c r="F98">
        <v>7431.9</v>
      </c>
      <c r="G98">
        <v>27958.1</v>
      </c>
      <c r="H98">
        <v>4029</v>
      </c>
      <c r="I98">
        <v>23929.1</v>
      </c>
      <c r="J98">
        <v>0.1520467836257309</v>
      </c>
      <c r="K98">
        <v>163.497660819</v>
      </c>
      <c r="L98">
        <v>139.93625731</v>
      </c>
    </row>
    <row r="99" spans="1:12" x14ac:dyDescent="0.25">
      <c r="A99" s="1">
        <v>46143</v>
      </c>
      <c r="B99" s="2" t="s">
        <v>13</v>
      </c>
      <c r="C99">
        <v>1814</v>
      </c>
      <c r="D99">
        <v>329</v>
      </c>
      <c r="E99">
        <v>371010</v>
      </c>
      <c r="F99">
        <v>77912.100000000006</v>
      </c>
      <c r="G99">
        <v>293097.90000000002</v>
      </c>
      <c r="H99">
        <v>51326.3</v>
      </c>
      <c r="I99">
        <v>241771.6</v>
      </c>
      <c r="J99">
        <v>0.18136714443219401</v>
      </c>
      <c r="K99">
        <v>161.575468578</v>
      </c>
      <c r="L99">
        <v>133.28092613000001</v>
      </c>
    </row>
    <row r="100" spans="1:12" x14ac:dyDescent="0.25">
      <c r="A100" s="1">
        <v>46143</v>
      </c>
      <c r="B100" s="2" t="s">
        <v>14</v>
      </c>
      <c r="C100">
        <v>571</v>
      </c>
      <c r="D100">
        <v>78</v>
      </c>
      <c r="E100">
        <v>108910</v>
      </c>
      <c r="F100">
        <v>22871.1</v>
      </c>
      <c r="G100">
        <v>86038.9</v>
      </c>
      <c r="H100">
        <v>11589.3</v>
      </c>
      <c r="I100">
        <v>74449.600000000006</v>
      </c>
      <c r="J100">
        <v>0.13660245183887909</v>
      </c>
      <c r="K100">
        <v>150.681085814</v>
      </c>
      <c r="L100">
        <v>130.38458844100001</v>
      </c>
    </row>
    <row r="101" spans="1:12" x14ac:dyDescent="0.25">
      <c r="A101" s="1">
        <v>46143</v>
      </c>
      <c r="B101" s="2" t="s">
        <v>15</v>
      </c>
      <c r="C101">
        <v>429</v>
      </c>
      <c r="D101">
        <v>20</v>
      </c>
      <c r="E101">
        <v>89120</v>
      </c>
      <c r="F101">
        <v>0</v>
      </c>
      <c r="G101">
        <v>89120</v>
      </c>
      <c r="H101">
        <v>4180</v>
      </c>
      <c r="I101">
        <v>84940</v>
      </c>
      <c r="J101">
        <v>4.6620046620046603E-2</v>
      </c>
      <c r="K101">
        <v>207.73892773899999</v>
      </c>
      <c r="L101">
        <v>197.995337995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B1500-5BDA-4790-AC7D-F6CC39D97BA2}">
  <dimension ref="A1:M5"/>
  <sheetViews>
    <sheetView workbookViewId="0"/>
  </sheetViews>
  <sheetFormatPr baseColWidth="10" defaultRowHeight="15" x14ac:dyDescent="0.25"/>
  <cols>
    <col min="1" max="1" width="12" bestFit="1" customWidth="1"/>
    <col min="2" max="2" width="12.5703125" bestFit="1" customWidth="1"/>
    <col min="3" max="3" width="16.5703125" bestFit="1" customWidth="1"/>
    <col min="4" max="4" width="13.7109375" bestFit="1" customWidth="1"/>
    <col min="5" max="5" width="10" bestFit="1" customWidth="1"/>
    <col min="6" max="6" width="11.85546875" bestFit="1" customWidth="1"/>
    <col min="7" max="7" width="22.5703125" bestFit="1" customWidth="1"/>
    <col min="8" max="8" width="20" bestFit="1" customWidth="1"/>
    <col min="9" max="9" width="13.28515625" bestFit="1" customWidth="1"/>
    <col min="10" max="10" width="16" bestFit="1" customWidth="1"/>
    <col min="11" max="12" width="20.28515625" bestFit="1" customWidth="1"/>
    <col min="13" max="13" width="28.4257812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16</v>
      </c>
      <c r="K1" t="s">
        <v>17</v>
      </c>
      <c r="L1" t="s">
        <v>10</v>
      </c>
      <c r="M1" t="s">
        <v>11</v>
      </c>
    </row>
    <row r="2" spans="1:13" x14ac:dyDescent="0.25">
      <c r="A2" s="2" t="s">
        <v>13</v>
      </c>
      <c r="B2">
        <v>38684</v>
      </c>
      <c r="C2">
        <v>6923</v>
      </c>
      <c r="D2">
        <v>7687810</v>
      </c>
      <c r="E2">
        <v>1614440.1</v>
      </c>
      <c r="F2">
        <v>6073369.9000000004</v>
      </c>
      <c r="G2">
        <v>1085049.2</v>
      </c>
      <c r="H2">
        <v>4988320.7</v>
      </c>
      <c r="I2">
        <v>0.178962878709544</v>
      </c>
      <c r="J2">
        <v>0.57918210199999998</v>
      </c>
      <c r="K2">
        <v>0.55575638500000002</v>
      </c>
      <c r="L2">
        <v>156.999532106</v>
      </c>
      <c r="M2">
        <v>128.95048857399999</v>
      </c>
    </row>
    <row r="3" spans="1:13" x14ac:dyDescent="0.25">
      <c r="A3" s="2" t="s">
        <v>15</v>
      </c>
      <c r="B3">
        <v>9555</v>
      </c>
      <c r="C3">
        <v>397</v>
      </c>
      <c r="D3">
        <v>1889540</v>
      </c>
      <c r="E3">
        <v>0</v>
      </c>
      <c r="F3">
        <v>1889540</v>
      </c>
      <c r="G3">
        <v>79850</v>
      </c>
      <c r="H3">
        <v>1809690</v>
      </c>
      <c r="I3">
        <v>4.1548927263212902E-2</v>
      </c>
      <c r="J3">
        <v>0.18019448299999999</v>
      </c>
      <c r="K3">
        <v>0.201620311</v>
      </c>
      <c r="L3">
        <v>197.75405546799999</v>
      </c>
      <c r="M3">
        <v>189.39717425399999</v>
      </c>
    </row>
    <row r="4" spans="1:13" x14ac:dyDescent="0.25">
      <c r="A4" s="2" t="s">
        <v>14</v>
      </c>
      <c r="B4">
        <v>12852</v>
      </c>
      <c r="C4">
        <v>1718</v>
      </c>
      <c r="D4">
        <v>2541120</v>
      </c>
      <c r="E4">
        <v>533635.19999999995</v>
      </c>
      <c r="F4">
        <v>2007484.8</v>
      </c>
      <c r="G4">
        <v>272889.7</v>
      </c>
      <c r="H4">
        <v>1734595.1</v>
      </c>
      <c r="I4">
        <v>0.1336756924992219</v>
      </c>
      <c r="J4">
        <v>0.19144219500000001</v>
      </c>
      <c r="K4">
        <v>0.19325387399999999</v>
      </c>
      <c r="L4">
        <v>156.20018674100001</v>
      </c>
      <c r="M4">
        <v>134.96693899799999</v>
      </c>
    </row>
    <row r="5" spans="1:13" x14ac:dyDescent="0.25">
      <c r="A5" s="2" t="s">
        <v>12</v>
      </c>
      <c r="B5">
        <v>3300</v>
      </c>
      <c r="C5">
        <v>476</v>
      </c>
      <c r="D5">
        <v>652810</v>
      </c>
      <c r="E5">
        <v>137090.1</v>
      </c>
      <c r="F5">
        <v>515719.9</v>
      </c>
      <c r="G5">
        <v>72593.100000000006</v>
      </c>
      <c r="H5">
        <v>443126.8</v>
      </c>
      <c r="I5">
        <v>0.1442424242424242</v>
      </c>
      <c r="J5">
        <v>4.9181218999999998E-2</v>
      </c>
      <c r="K5">
        <v>4.9369429999999999E-2</v>
      </c>
      <c r="L5">
        <v>156.278757576</v>
      </c>
      <c r="M5">
        <v>134.28084848500001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F9D68-9A53-41DD-8402-6ED78966D108}">
  <dimension ref="A3:F66"/>
  <sheetViews>
    <sheetView workbookViewId="0">
      <selection activeCell="B8" sqref="B8"/>
    </sheetView>
  </sheetViews>
  <sheetFormatPr baseColWidth="10" defaultRowHeight="15" x14ac:dyDescent="0.25"/>
  <cols>
    <col min="1" max="1" width="17.85546875" bestFit="1" customWidth="1"/>
    <col min="2" max="2" width="26" bestFit="1" customWidth="1"/>
    <col min="3" max="3" width="28.7109375" bestFit="1" customWidth="1"/>
    <col min="4" max="4" width="14" bestFit="1" customWidth="1"/>
    <col min="5" max="5" width="12" bestFit="1" customWidth="1"/>
    <col min="6" max="7" width="12.5703125" bestFit="1" customWidth="1"/>
  </cols>
  <sheetData>
    <row r="3" spans="1:6" x14ac:dyDescent="0.25">
      <c r="A3" s="5" t="s">
        <v>23</v>
      </c>
      <c r="B3" s="5" t="s">
        <v>24</v>
      </c>
    </row>
    <row r="4" spans="1:6" x14ac:dyDescent="0.25">
      <c r="A4" s="5" t="s">
        <v>21</v>
      </c>
      <c r="B4" t="s">
        <v>12</v>
      </c>
      <c r="C4" t="s">
        <v>13</v>
      </c>
      <c r="D4" t="s">
        <v>14</v>
      </c>
      <c r="E4" t="s">
        <v>15</v>
      </c>
      <c r="F4" t="s">
        <v>22</v>
      </c>
    </row>
    <row r="5" spans="1:6" x14ac:dyDescent="0.25">
      <c r="A5" s="6">
        <v>45413</v>
      </c>
      <c r="B5" s="2">
        <v>0</v>
      </c>
      <c r="C5" s="2">
        <v>16700.599999999999</v>
      </c>
      <c r="D5" s="2">
        <v>5988.2</v>
      </c>
      <c r="E5" s="2">
        <v>9350</v>
      </c>
      <c r="F5" s="2">
        <v>32038.799999999999</v>
      </c>
    </row>
    <row r="6" spans="1:6" x14ac:dyDescent="0.25">
      <c r="A6" s="6">
        <v>45444</v>
      </c>
      <c r="B6" s="2">
        <v>13382.6</v>
      </c>
      <c r="C6" s="2">
        <v>173555.1</v>
      </c>
      <c r="D6" s="2">
        <v>68382.399999999994</v>
      </c>
      <c r="E6" s="2">
        <v>67370</v>
      </c>
      <c r="F6" s="2">
        <v>322690.09999999998</v>
      </c>
    </row>
    <row r="7" spans="1:6" x14ac:dyDescent="0.25">
      <c r="A7" s="6">
        <v>45474</v>
      </c>
      <c r="B7" s="2">
        <v>16890.2</v>
      </c>
      <c r="C7" s="2">
        <v>184228</v>
      </c>
      <c r="D7" s="2">
        <v>53996.5</v>
      </c>
      <c r="E7" s="2">
        <v>60660</v>
      </c>
      <c r="F7" s="2">
        <v>315774.7</v>
      </c>
    </row>
    <row r="8" spans="1:6" x14ac:dyDescent="0.25">
      <c r="A8" s="6">
        <v>45505</v>
      </c>
      <c r="B8" s="2">
        <v>16108.1</v>
      </c>
      <c r="C8" s="2">
        <v>172931</v>
      </c>
      <c r="D8" s="2">
        <v>52858.9</v>
      </c>
      <c r="E8" s="2">
        <v>65480</v>
      </c>
      <c r="F8" s="2">
        <v>307378</v>
      </c>
    </row>
    <row r="9" spans="1:6" x14ac:dyDescent="0.25">
      <c r="A9" s="6">
        <v>45536</v>
      </c>
      <c r="B9" s="2">
        <v>11652.5</v>
      </c>
      <c r="C9" s="2">
        <v>167922.4</v>
      </c>
      <c r="D9" s="2">
        <v>61746.400000000001</v>
      </c>
      <c r="E9" s="2">
        <v>63040</v>
      </c>
      <c r="F9" s="2">
        <v>304361.3</v>
      </c>
    </row>
    <row r="10" spans="1:6" x14ac:dyDescent="0.25">
      <c r="A10" s="6">
        <v>45566</v>
      </c>
      <c r="B10" s="2">
        <v>14875.7</v>
      </c>
      <c r="C10" s="2">
        <v>182347.8</v>
      </c>
      <c r="D10" s="2">
        <v>66660.2</v>
      </c>
      <c r="E10" s="2">
        <v>79560</v>
      </c>
      <c r="F10" s="2">
        <v>343443.7</v>
      </c>
    </row>
    <row r="11" spans="1:6" x14ac:dyDescent="0.25">
      <c r="A11" s="6">
        <v>45597</v>
      </c>
      <c r="B11" s="2">
        <v>26101.599999999999</v>
      </c>
      <c r="C11" s="2">
        <v>241044.8</v>
      </c>
      <c r="D11" s="2">
        <v>81622.8</v>
      </c>
      <c r="E11" s="2">
        <v>85080</v>
      </c>
      <c r="F11" s="2">
        <v>433849.19999999995</v>
      </c>
    </row>
    <row r="12" spans="1:6" x14ac:dyDescent="0.25">
      <c r="A12" s="6">
        <v>45627</v>
      </c>
      <c r="B12" s="2">
        <v>23589.4</v>
      </c>
      <c r="C12" s="2">
        <v>255391.2</v>
      </c>
      <c r="D12" s="2">
        <v>103213.5</v>
      </c>
      <c r="E12" s="2">
        <v>94050</v>
      </c>
      <c r="F12" s="2">
        <v>476244.10000000003</v>
      </c>
    </row>
    <row r="13" spans="1:6" x14ac:dyDescent="0.25">
      <c r="A13" s="6">
        <v>45658</v>
      </c>
      <c r="B13" s="2">
        <v>12561</v>
      </c>
      <c r="C13" s="2">
        <v>150700.4</v>
      </c>
      <c r="D13" s="2">
        <v>57196</v>
      </c>
      <c r="E13" s="2">
        <v>57330</v>
      </c>
      <c r="F13" s="2">
        <v>277787.40000000002</v>
      </c>
    </row>
    <row r="14" spans="1:6" x14ac:dyDescent="0.25">
      <c r="A14" s="6">
        <v>45689</v>
      </c>
      <c r="B14" s="2">
        <v>13437.9</v>
      </c>
      <c r="C14" s="2">
        <v>138645</v>
      </c>
      <c r="D14" s="2">
        <v>47076.1</v>
      </c>
      <c r="E14" s="2">
        <v>47200</v>
      </c>
      <c r="F14" s="2">
        <v>246359</v>
      </c>
    </row>
    <row r="15" spans="1:6" x14ac:dyDescent="0.25">
      <c r="A15" s="6">
        <v>45717</v>
      </c>
      <c r="B15" s="2">
        <v>13848.7</v>
      </c>
      <c r="C15" s="2">
        <v>178121.3</v>
      </c>
      <c r="D15" s="2">
        <v>67055.199999999997</v>
      </c>
      <c r="E15" s="2">
        <v>67090</v>
      </c>
      <c r="F15" s="2">
        <v>326115.20000000001</v>
      </c>
    </row>
    <row r="16" spans="1:6" x14ac:dyDescent="0.25">
      <c r="A16" s="6">
        <v>45748</v>
      </c>
      <c r="B16" s="2">
        <v>17214.099999999999</v>
      </c>
      <c r="C16" s="2">
        <v>187285.3</v>
      </c>
      <c r="D16" s="2">
        <v>62259.9</v>
      </c>
      <c r="E16" s="2">
        <v>66630</v>
      </c>
      <c r="F16" s="2">
        <v>333389.3</v>
      </c>
    </row>
    <row r="17" spans="1:6" x14ac:dyDescent="0.25">
      <c r="A17" s="6">
        <v>45778</v>
      </c>
      <c r="B17" s="2">
        <v>21164.1</v>
      </c>
      <c r="C17" s="2">
        <v>206371.7</v>
      </c>
      <c r="D17" s="2">
        <v>65435.7</v>
      </c>
      <c r="E17" s="2">
        <v>68950</v>
      </c>
      <c r="F17" s="2">
        <v>361921.5</v>
      </c>
    </row>
    <row r="18" spans="1:6" x14ac:dyDescent="0.25">
      <c r="A18" s="6">
        <v>45809</v>
      </c>
      <c r="B18" s="2">
        <v>20192.400000000001</v>
      </c>
      <c r="C18" s="2">
        <v>215393.5</v>
      </c>
      <c r="D18" s="2">
        <v>88021.8</v>
      </c>
      <c r="E18" s="2">
        <v>85620</v>
      </c>
      <c r="F18" s="2">
        <v>409227.7</v>
      </c>
    </row>
    <row r="19" spans="1:6" x14ac:dyDescent="0.25">
      <c r="A19" s="6">
        <v>45839</v>
      </c>
      <c r="B19" s="2">
        <v>19046.900000000001</v>
      </c>
      <c r="C19" s="2">
        <v>207485.6</v>
      </c>
      <c r="D19" s="2">
        <v>62323.1</v>
      </c>
      <c r="E19" s="2">
        <v>82940</v>
      </c>
      <c r="F19" s="2">
        <v>371795.6</v>
      </c>
    </row>
    <row r="20" spans="1:6" x14ac:dyDescent="0.25">
      <c r="A20" s="6">
        <v>45870</v>
      </c>
      <c r="B20" s="2">
        <v>15065.3</v>
      </c>
      <c r="C20" s="2">
        <v>191606.6</v>
      </c>
      <c r="D20" s="2">
        <v>75895.3</v>
      </c>
      <c r="E20" s="2">
        <v>69330</v>
      </c>
      <c r="F20" s="2">
        <v>351897.2</v>
      </c>
    </row>
    <row r="21" spans="1:6" x14ac:dyDescent="0.25">
      <c r="A21" s="6">
        <v>45901</v>
      </c>
      <c r="B21" s="2">
        <v>21298.400000000001</v>
      </c>
      <c r="C21" s="2">
        <v>210732.5</v>
      </c>
      <c r="D21" s="2">
        <v>68240.2</v>
      </c>
      <c r="E21" s="2">
        <v>69850</v>
      </c>
      <c r="F21" s="2">
        <v>370121.1</v>
      </c>
    </row>
    <row r="22" spans="1:6" x14ac:dyDescent="0.25">
      <c r="A22" s="6">
        <v>45931</v>
      </c>
      <c r="B22" s="2">
        <v>18936.3</v>
      </c>
      <c r="C22" s="2">
        <v>220970.9</v>
      </c>
      <c r="D22" s="2">
        <v>74449.600000000006</v>
      </c>
      <c r="E22" s="2">
        <v>74990</v>
      </c>
      <c r="F22" s="2">
        <v>389346.8</v>
      </c>
    </row>
    <row r="23" spans="1:6" x14ac:dyDescent="0.25">
      <c r="A23" s="6">
        <v>45962</v>
      </c>
      <c r="B23" s="2">
        <v>26978.5</v>
      </c>
      <c r="C23" s="2">
        <v>277937.8</v>
      </c>
      <c r="D23" s="2">
        <v>111366.3</v>
      </c>
      <c r="E23" s="2">
        <v>93660</v>
      </c>
      <c r="F23" s="2">
        <v>509942.6</v>
      </c>
    </row>
    <row r="24" spans="1:6" x14ac:dyDescent="0.25">
      <c r="A24" s="6">
        <v>45992</v>
      </c>
      <c r="B24" s="2">
        <v>24426.799999999999</v>
      </c>
      <c r="C24" s="2">
        <v>324634.7</v>
      </c>
      <c r="D24" s="2">
        <v>111650.7</v>
      </c>
      <c r="E24" s="2">
        <v>115400</v>
      </c>
      <c r="F24" s="2">
        <v>576112.19999999995</v>
      </c>
    </row>
    <row r="25" spans="1:6" x14ac:dyDescent="0.25">
      <c r="A25" s="6">
        <v>46023</v>
      </c>
      <c r="B25" s="2">
        <v>17174.599999999999</v>
      </c>
      <c r="C25" s="2">
        <v>196164.9</v>
      </c>
      <c r="D25" s="2">
        <v>61138.1</v>
      </c>
      <c r="E25" s="2">
        <v>68530</v>
      </c>
      <c r="F25" s="2">
        <v>343007.6</v>
      </c>
    </row>
    <row r="26" spans="1:6" x14ac:dyDescent="0.25">
      <c r="A26" s="6">
        <v>46054</v>
      </c>
      <c r="B26" s="2">
        <v>11091.6</v>
      </c>
      <c r="C26" s="2">
        <v>162811.1</v>
      </c>
      <c r="D26" s="2">
        <v>58041.3</v>
      </c>
      <c r="E26" s="2">
        <v>55050</v>
      </c>
      <c r="F26" s="2">
        <v>286994</v>
      </c>
    </row>
    <row r="27" spans="1:6" x14ac:dyDescent="0.25">
      <c r="A27" s="6">
        <v>46082</v>
      </c>
      <c r="B27" s="2">
        <v>21796.1</v>
      </c>
      <c r="C27" s="2">
        <v>236739.3</v>
      </c>
      <c r="D27" s="2">
        <v>69520</v>
      </c>
      <c r="E27" s="2">
        <v>83900</v>
      </c>
      <c r="F27" s="2">
        <v>411955.4</v>
      </c>
    </row>
    <row r="28" spans="1:6" x14ac:dyDescent="0.25">
      <c r="A28" s="6">
        <v>46113</v>
      </c>
      <c r="B28" s="2">
        <v>22364.9</v>
      </c>
      <c r="C28" s="2">
        <v>246827.6</v>
      </c>
      <c r="D28" s="2">
        <v>86007.3</v>
      </c>
      <c r="E28" s="2">
        <v>93690</v>
      </c>
      <c r="F28" s="2">
        <v>448889.8</v>
      </c>
    </row>
    <row r="29" spans="1:6" x14ac:dyDescent="0.25">
      <c r="A29" s="6">
        <v>46143</v>
      </c>
      <c r="B29" s="2">
        <v>23929.1</v>
      </c>
      <c r="C29" s="2">
        <v>241771.6</v>
      </c>
      <c r="D29" s="2">
        <v>74449.600000000006</v>
      </c>
      <c r="E29" s="2">
        <v>84940</v>
      </c>
      <c r="F29" s="2">
        <v>425090.30000000005</v>
      </c>
    </row>
    <row r="30" spans="1:6" x14ac:dyDescent="0.25">
      <c r="A30" s="6" t="s">
        <v>22</v>
      </c>
      <c r="B30" s="2">
        <v>443126.79999999993</v>
      </c>
      <c r="C30" s="2">
        <v>4988320.6999999993</v>
      </c>
      <c r="D30" s="2">
        <v>1734595.1000000003</v>
      </c>
      <c r="E30" s="2">
        <v>1809690</v>
      </c>
      <c r="F30" s="2">
        <v>8975732.5999999996</v>
      </c>
    </row>
    <row r="32" spans="1:6" x14ac:dyDescent="0.25">
      <c r="A32" s="5" t="s">
        <v>25</v>
      </c>
      <c r="B32" s="5" t="s">
        <v>24</v>
      </c>
    </row>
    <row r="33" spans="1:6" x14ac:dyDescent="0.25">
      <c r="A33" s="5" t="s">
        <v>21</v>
      </c>
      <c r="B33" t="s">
        <v>12</v>
      </c>
      <c r="C33" t="s">
        <v>13</v>
      </c>
      <c r="D33" t="s">
        <v>14</v>
      </c>
      <c r="E33" t="s">
        <v>15</v>
      </c>
      <c r="F33" t="s">
        <v>22</v>
      </c>
    </row>
    <row r="34" spans="1:6" x14ac:dyDescent="0.25">
      <c r="A34" s="6">
        <v>45413</v>
      </c>
      <c r="B34" s="2">
        <v>1</v>
      </c>
      <c r="C34" s="2">
        <v>0.17985611510791361</v>
      </c>
      <c r="D34" s="2">
        <v>0.1951219512195122</v>
      </c>
      <c r="E34" s="2">
        <v>2.27272727272727E-2</v>
      </c>
      <c r="F34" s="2">
        <v>1.3977053390546985</v>
      </c>
    </row>
    <row r="35" spans="1:6" x14ac:dyDescent="0.25">
      <c r="A35" s="6">
        <v>45444</v>
      </c>
      <c r="B35" s="2">
        <v>9.18367346938775E-2</v>
      </c>
      <c r="C35" s="2">
        <v>0.18290960451977401</v>
      </c>
      <c r="D35" s="2">
        <v>0.1285140562248995</v>
      </c>
      <c r="E35" s="2">
        <v>2.2922636103151799E-2</v>
      </c>
      <c r="F35" s="2">
        <v>0.42618303154170278</v>
      </c>
    </row>
    <row r="36" spans="1:6" x14ac:dyDescent="0.25">
      <c r="A36" s="6">
        <v>45474</v>
      </c>
      <c r="B36" s="2">
        <v>0.146788990825688</v>
      </c>
      <c r="C36" s="2">
        <v>0.1714490674318507</v>
      </c>
      <c r="D36" s="2">
        <v>0.15345268542199481</v>
      </c>
      <c r="E36" s="2">
        <v>3.7735849056603703E-2</v>
      </c>
      <c r="F36" s="2">
        <v>0.50942659273613722</v>
      </c>
    </row>
    <row r="37" spans="1:6" x14ac:dyDescent="0.25">
      <c r="A37" s="6">
        <v>45505</v>
      </c>
      <c r="B37" s="2">
        <v>0.13559322033898299</v>
      </c>
      <c r="C37" s="2">
        <v>0.18754633061527051</v>
      </c>
      <c r="D37" s="2">
        <v>0.1381074168797953</v>
      </c>
      <c r="E37" s="2">
        <v>5.0847457627118599E-2</v>
      </c>
      <c r="F37" s="2">
        <v>0.51209442546116746</v>
      </c>
    </row>
    <row r="38" spans="1:6" x14ac:dyDescent="0.25">
      <c r="A38" s="6">
        <v>45536</v>
      </c>
      <c r="B38" s="2">
        <v>0.1388888888888889</v>
      </c>
      <c r="C38" s="2">
        <v>0.18106060606060601</v>
      </c>
      <c r="D38" s="2">
        <v>0.1396396396396396</v>
      </c>
      <c r="E38" s="2">
        <v>2.07100591715976E-2</v>
      </c>
      <c r="F38" s="2">
        <v>0.48029919376073205</v>
      </c>
    </row>
    <row r="39" spans="1:6" x14ac:dyDescent="0.25">
      <c r="A39" s="6">
        <v>45566</v>
      </c>
      <c r="B39" s="2">
        <v>0.15748031496062989</v>
      </c>
      <c r="C39" s="2">
        <v>0.1960916442048517</v>
      </c>
      <c r="D39" s="2">
        <v>0.1452830188679245</v>
      </c>
      <c r="E39" s="2">
        <v>3.8461538461538401E-2</v>
      </c>
      <c r="F39" s="2">
        <v>0.5373165164949445</v>
      </c>
    </row>
    <row r="40" spans="1:6" x14ac:dyDescent="0.25">
      <c r="A40" s="6">
        <v>45597</v>
      </c>
      <c r="B40" s="2">
        <v>0.175438596491228</v>
      </c>
      <c r="C40" s="2">
        <v>0.16116611661166111</v>
      </c>
      <c r="D40" s="2">
        <v>0.1306451612903225</v>
      </c>
      <c r="E40" s="2">
        <v>4.1002277904327998E-2</v>
      </c>
      <c r="F40" s="2">
        <v>0.50825215229753962</v>
      </c>
    </row>
    <row r="41" spans="1:6" x14ac:dyDescent="0.25">
      <c r="A41" s="6">
        <v>45627</v>
      </c>
      <c r="B41" s="2">
        <v>0.1823204419889502</v>
      </c>
      <c r="C41" s="2">
        <v>0.17125688532799199</v>
      </c>
      <c r="D41" s="2">
        <v>8.8195386702849293E-2</v>
      </c>
      <c r="E41" s="2">
        <v>4.6421663442939999E-2</v>
      </c>
      <c r="F41" s="2">
        <v>0.48819437746273148</v>
      </c>
    </row>
    <row r="42" spans="1:6" x14ac:dyDescent="0.25">
      <c r="A42" s="6">
        <v>45658</v>
      </c>
      <c r="B42" s="2">
        <v>0.1041666666666666</v>
      </c>
      <c r="C42" s="2">
        <v>0.18405428329092449</v>
      </c>
      <c r="D42" s="2">
        <v>0.1147540983606557</v>
      </c>
      <c r="E42" s="2">
        <v>6.6878980891719703E-2</v>
      </c>
      <c r="F42" s="2">
        <v>0.46985402920996644</v>
      </c>
    </row>
    <row r="43" spans="1:6" x14ac:dyDescent="0.25">
      <c r="A43" s="6">
        <v>45689</v>
      </c>
      <c r="B43" s="2">
        <v>0.15306122448979589</v>
      </c>
      <c r="C43" s="2">
        <v>0.18762088974854929</v>
      </c>
      <c r="D43" s="2">
        <v>8.4592145015105702E-2</v>
      </c>
      <c r="E43" s="2">
        <v>5.859375E-2</v>
      </c>
      <c r="F43" s="2">
        <v>0.48386800925345086</v>
      </c>
    </row>
    <row r="44" spans="1:6" x14ac:dyDescent="0.25">
      <c r="A44" s="6">
        <v>45717</v>
      </c>
      <c r="B44" s="2">
        <v>0.10679611650485429</v>
      </c>
      <c r="C44" s="2">
        <v>0.17847025495750701</v>
      </c>
      <c r="D44" s="2">
        <v>0.125</v>
      </c>
      <c r="E44" s="2">
        <v>4.94505494505494E-2</v>
      </c>
      <c r="F44" s="2">
        <v>0.45971692091291072</v>
      </c>
    </row>
    <row r="45" spans="1:6" x14ac:dyDescent="0.25">
      <c r="A45" s="6">
        <v>45748</v>
      </c>
      <c r="B45" s="2">
        <v>0.12837837837837829</v>
      </c>
      <c r="C45" s="2">
        <v>0.1906666666666666</v>
      </c>
      <c r="D45" s="2">
        <v>0.1570247933884297</v>
      </c>
      <c r="E45" s="2">
        <v>4.54545454545454E-2</v>
      </c>
      <c r="F45" s="2">
        <v>0.52152438388802003</v>
      </c>
    </row>
    <row r="46" spans="1:6" x14ac:dyDescent="0.25">
      <c r="A46" s="6">
        <v>45778</v>
      </c>
      <c r="B46" s="2">
        <v>0.16149068322981361</v>
      </c>
      <c r="C46" s="2">
        <v>0.166358595194085</v>
      </c>
      <c r="D46" s="2">
        <v>0.13424124513618671</v>
      </c>
      <c r="E46" s="2">
        <v>4.7368421052631497E-2</v>
      </c>
      <c r="F46" s="2">
        <v>0.50945894461271679</v>
      </c>
    </row>
    <row r="47" spans="1:6" x14ac:dyDescent="0.25">
      <c r="A47" s="6">
        <v>45809</v>
      </c>
      <c r="B47" s="2">
        <v>0.15231788079470199</v>
      </c>
      <c r="C47" s="2">
        <v>0.1802869619463506</v>
      </c>
      <c r="D47" s="2">
        <v>0.1303630363036303</v>
      </c>
      <c r="E47" s="2">
        <v>3.8202247191011202E-2</v>
      </c>
      <c r="F47" s="2">
        <v>0.50117012623569412</v>
      </c>
    </row>
    <row r="48" spans="1:6" x14ac:dyDescent="0.25">
      <c r="A48" s="6">
        <v>45839</v>
      </c>
      <c r="B48" s="2">
        <v>0.1310344827586207</v>
      </c>
      <c r="C48" s="2">
        <v>0.1904474002418379</v>
      </c>
      <c r="D48" s="2">
        <v>0.18106995884773661</v>
      </c>
      <c r="E48" s="2">
        <v>4.1189931350114402E-2</v>
      </c>
      <c r="F48" s="2">
        <v>0.54374177319830963</v>
      </c>
    </row>
    <row r="49" spans="1:6" x14ac:dyDescent="0.25">
      <c r="A49" s="6">
        <v>45870</v>
      </c>
      <c r="B49" s="2">
        <v>0.109090909090909</v>
      </c>
      <c r="C49" s="2">
        <v>0.1762028608582574</v>
      </c>
      <c r="D49" s="2">
        <v>9.7785977859778495E-2</v>
      </c>
      <c r="E49" s="2">
        <v>1.9073569482288801E-2</v>
      </c>
      <c r="F49" s="2">
        <v>0.40215331729123366</v>
      </c>
    </row>
    <row r="50" spans="1:6" x14ac:dyDescent="0.25">
      <c r="A50" s="6">
        <v>45901</v>
      </c>
      <c r="B50" s="2">
        <v>0.1418439716312056</v>
      </c>
      <c r="C50" s="2">
        <v>0.17973462002412541</v>
      </c>
      <c r="D50" s="2">
        <v>0.13487475915221581</v>
      </c>
      <c r="E50" s="2">
        <v>5.3908355795148202E-2</v>
      </c>
      <c r="F50" s="2">
        <v>0.51036170660269498</v>
      </c>
    </row>
    <row r="51" spans="1:6" x14ac:dyDescent="0.25">
      <c r="A51" s="6">
        <v>45931</v>
      </c>
      <c r="B51" s="2">
        <v>0.16279069767441859</v>
      </c>
      <c r="C51" s="2">
        <v>0.18478260869565211</v>
      </c>
      <c r="D51" s="2">
        <v>0.14721723518850979</v>
      </c>
      <c r="E51" s="2">
        <v>5.0761421319796898E-2</v>
      </c>
      <c r="F51" s="2">
        <v>0.54555196287837737</v>
      </c>
    </row>
    <row r="52" spans="1:6" x14ac:dyDescent="0.25">
      <c r="A52" s="6">
        <v>45962</v>
      </c>
      <c r="B52" s="2">
        <v>0.13989637305699479</v>
      </c>
      <c r="C52" s="2">
        <v>0.1774042950513538</v>
      </c>
      <c r="D52" s="2">
        <v>0.1493670886075949</v>
      </c>
      <c r="E52" s="2">
        <v>5.1759834368530003E-2</v>
      </c>
      <c r="F52" s="2">
        <v>0.51842759108447345</v>
      </c>
    </row>
    <row r="53" spans="1:6" x14ac:dyDescent="0.25">
      <c r="A53" s="6">
        <v>45992</v>
      </c>
      <c r="B53" s="2">
        <v>9.6256684491978606E-2</v>
      </c>
      <c r="C53" s="2">
        <v>0.17979797979797971</v>
      </c>
      <c r="D53" s="2">
        <v>0.12409638554216861</v>
      </c>
      <c r="E53" s="2">
        <v>3.6565977742448297E-2</v>
      </c>
      <c r="F53" s="2">
        <v>0.4367170275745752</v>
      </c>
    </row>
    <row r="54" spans="1:6" x14ac:dyDescent="0.25">
      <c r="A54" s="6">
        <v>46023</v>
      </c>
      <c r="B54" s="2">
        <v>0.19402985074626861</v>
      </c>
      <c r="C54" s="2">
        <v>0.177762982689747</v>
      </c>
      <c r="D54" s="2">
        <v>0.14806866952789699</v>
      </c>
      <c r="E54" s="2">
        <v>3.3240997229916899E-2</v>
      </c>
      <c r="F54" s="2">
        <v>0.55310250019382956</v>
      </c>
    </row>
    <row r="55" spans="1:6" x14ac:dyDescent="0.25">
      <c r="A55" s="6">
        <v>46054</v>
      </c>
      <c r="B55" s="2">
        <v>0.2</v>
      </c>
      <c r="C55" s="2">
        <v>0.1631863882443928</v>
      </c>
      <c r="D55" s="2">
        <v>0.14380530973451319</v>
      </c>
      <c r="E55" s="2">
        <v>3.7288135593220299E-2</v>
      </c>
      <c r="F55" s="2">
        <v>0.54427983357212628</v>
      </c>
    </row>
    <row r="56" spans="1:6" x14ac:dyDescent="0.25">
      <c r="A56" s="6">
        <v>46082</v>
      </c>
      <c r="B56" s="2">
        <v>0.1151515151515151</v>
      </c>
      <c r="C56" s="2">
        <v>0.1757439640651319</v>
      </c>
      <c r="D56" s="2">
        <v>0.13793103448275859</v>
      </c>
      <c r="E56" s="2">
        <v>3.06603773584905E-2</v>
      </c>
      <c r="F56" s="2">
        <v>0.45948689105789609</v>
      </c>
    </row>
    <row r="57" spans="1:6" x14ac:dyDescent="0.25">
      <c r="A57" s="6">
        <v>46113</v>
      </c>
      <c r="B57" s="2">
        <v>0.14723926380368099</v>
      </c>
      <c r="C57" s="2">
        <v>0.1778023191606847</v>
      </c>
      <c r="D57" s="2">
        <v>0.1414634146341463</v>
      </c>
      <c r="E57" s="2">
        <v>3.9337474120082802E-2</v>
      </c>
      <c r="F57" s="2">
        <v>0.50584247171859476</v>
      </c>
    </row>
    <row r="58" spans="1:6" x14ac:dyDescent="0.25">
      <c r="A58" s="6">
        <v>46143</v>
      </c>
      <c r="B58" s="2">
        <v>0.1520467836257309</v>
      </c>
      <c r="C58" s="2">
        <v>0.18136714443219401</v>
      </c>
      <c r="D58" s="2">
        <v>0.13660245183887909</v>
      </c>
      <c r="E58" s="2">
        <v>4.6620046620046603E-2</v>
      </c>
      <c r="F58" s="2">
        <v>0.5166364265168506</v>
      </c>
    </row>
    <row r="59" spans="1:6" x14ac:dyDescent="0.25">
      <c r="A59" s="7" t="s">
        <v>22</v>
      </c>
      <c r="B59" s="2">
        <v>4.4239386702837784</v>
      </c>
      <c r="C59" s="2">
        <v>4.4830265849453577</v>
      </c>
      <c r="D59" s="2">
        <v>3.4072169198671438</v>
      </c>
      <c r="E59" s="2">
        <v>1.0271833695150918</v>
      </c>
      <c r="F59" s="2">
        <v>13.341365544611373</v>
      </c>
    </row>
    <row r="61" spans="1:6" x14ac:dyDescent="0.25">
      <c r="A61" s="5" t="s">
        <v>21</v>
      </c>
      <c r="B61" t="s">
        <v>23</v>
      </c>
      <c r="C61" t="s">
        <v>29</v>
      </c>
      <c r="D61" t="s">
        <v>30</v>
      </c>
    </row>
    <row r="62" spans="1:6" x14ac:dyDescent="0.25">
      <c r="A62" s="7" t="s">
        <v>12</v>
      </c>
      <c r="B62" s="2">
        <v>443126.8</v>
      </c>
      <c r="C62" s="2">
        <v>72593.100000000006</v>
      </c>
      <c r="D62" s="2">
        <v>137090.1</v>
      </c>
    </row>
    <row r="63" spans="1:6" x14ac:dyDescent="0.25">
      <c r="A63" s="7" t="s">
        <v>13</v>
      </c>
      <c r="B63" s="2">
        <v>4988320.7</v>
      </c>
      <c r="C63" s="2">
        <v>1085049.2</v>
      </c>
      <c r="D63" s="2">
        <v>1614440.1</v>
      </c>
    </row>
    <row r="64" spans="1:6" x14ac:dyDescent="0.25">
      <c r="A64" s="7" t="s">
        <v>14</v>
      </c>
      <c r="B64" s="2">
        <v>1734595.1</v>
      </c>
      <c r="C64" s="2">
        <v>272889.7</v>
      </c>
      <c r="D64" s="2">
        <v>533635.19999999995</v>
      </c>
    </row>
    <row r="65" spans="1:4" x14ac:dyDescent="0.25">
      <c r="A65" s="7" t="s">
        <v>15</v>
      </c>
      <c r="B65" s="2">
        <v>1809690</v>
      </c>
      <c r="C65" s="2">
        <v>79850</v>
      </c>
      <c r="D65" s="2">
        <v>0</v>
      </c>
    </row>
    <row r="66" spans="1:4" x14ac:dyDescent="0.25">
      <c r="A66" s="7" t="s">
        <v>22</v>
      </c>
      <c r="B66" s="2">
        <v>8975732.5999999996</v>
      </c>
      <c r="C66" s="2">
        <v>1510382</v>
      </c>
      <c r="D66" s="2">
        <v>2285165.4000000004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CFD12-925A-43B0-9637-819DB8C3DACD}">
  <dimension ref="A1:H101"/>
  <sheetViews>
    <sheetView workbookViewId="0">
      <selection sqref="A1:H1048576"/>
    </sheetView>
  </sheetViews>
  <sheetFormatPr baseColWidth="10" defaultRowHeight="15" x14ac:dyDescent="0.25"/>
  <cols>
    <col min="1" max="1" width="13.85546875" bestFit="1" customWidth="1"/>
    <col min="2" max="2" width="12" bestFit="1" customWidth="1"/>
    <col min="3" max="3" width="12.5703125" bestFit="1" customWidth="1"/>
    <col min="4" max="4" width="16.5703125" bestFit="1" customWidth="1"/>
    <col min="5" max="5" width="19.140625" bestFit="1" customWidth="1"/>
    <col min="6" max="6" width="22.5703125" bestFit="1" customWidth="1"/>
    <col min="7" max="7" width="20" bestFit="1" customWidth="1"/>
    <col min="8" max="8" width="13.28515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31</v>
      </c>
      <c r="F1" t="s">
        <v>7</v>
      </c>
      <c r="G1" t="s">
        <v>8</v>
      </c>
      <c r="H1" t="s">
        <v>9</v>
      </c>
    </row>
    <row r="2" spans="1:8" x14ac:dyDescent="0.25">
      <c r="A2" s="1">
        <v>45413</v>
      </c>
      <c r="B2" s="2" t="s">
        <v>12</v>
      </c>
      <c r="C2">
        <v>3</v>
      </c>
      <c r="D2">
        <v>3</v>
      </c>
      <c r="E2">
        <v>387.1</v>
      </c>
      <c r="F2">
        <v>387.1</v>
      </c>
      <c r="G2">
        <v>0</v>
      </c>
      <c r="H2">
        <v>1</v>
      </c>
    </row>
    <row r="3" spans="1:8" x14ac:dyDescent="0.25">
      <c r="A3" s="1">
        <v>45413</v>
      </c>
      <c r="B3" s="2" t="s">
        <v>13</v>
      </c>
      <c r="C3">
        <v>139</v>
      </c>
      <c r="D3">
        <v>25</v>
      </c>
      <c r="E3">
        <v>20769.099999999999</v>
      </c>
      <c r="F3">
        <v>4068.5</v>
      </c>
      <c r="G3">
        <v>16700.599999999999</v>
      </c>
      <c r="H3">
        <v>0.17985611510791361</v>
      </c>
    </row>
    <row r="4" spans="1:8" x14ac:dyDescent="0.25">
      <c r="A4" s="1">
        <v>45413</v>
      </c>
      <c r="B4" s="2" t="s">
        <v>14</v>
      </c>
      <c r="C4">
        <v>41</v>
      </c>
      <c r="D4">
        <v>8</v>
      </c>
      <c r="E4">
        <v>7505</v>
      </c>
      <c r="F4">
        <v>1516.8</v>
      </c>
      <c r="G4">
        <v>5988.2</v>
      </c>
      <c r="H4">
        <v>0.1951219512195122</v>
      </c>
    </row>
    <row r="5" spans="1:8" x14ac:dyDescent="0.25">
      <c r="A5" s="1">
        <v>45413</v>
      </c>
      <c r="B5" s="2" t="s">
        <v>15</v>
      </c>
      <c r="C5">
        <v>44</v>
      </c>
      <c r="D5">
        <v>1</v>
      </c>
      <c r="E5">
        <v>9500</v>
      </c>
      <c r="F5">
        <v>150</v>
      </c>
      <c r="G5">
        <v>9350</v>
      </c>
      <c r="H5">
        <v>2.27272727272727E-2</v>
      </c>
    </row>
    <row r="6" spans="1:8" x14ac:dyDescent="0.25">
      <c r="A6" s="1">
        <v>45444</v>
      </c>
      <c r="B6" s="2" t="s">
        <v>12</v>
      </c>
      <c r="C6">
        <v>98</v>
      </c>
      <c r="D6">
        <v>9</v>
      </c>
      <c r="E6">
        <v>14670.3</v>
      </c>
      <c r="F6">
        <v>1287.7</v>
      </c>
      <c r="G6">
        <v>13382.6</v>
      </c>
      <c r="H6">
        <v>9.18367346938775E-2</v>
      </c>
    </row>
    <row r="7" spans="1:8" x14ac:dyDescent="0.25">
      <c r="A7" s="1">
        <v>45444</v>
      </c>
      <c r="B7" s="2" t="s">
        <v>13</v>
      </c>
      <c r="C7">
        <v>1416</v>
      </c>
      <c r="D7">
        <v>259</v>
      </c>
      <c r="E7">
        <v>214658.8</v>
      </c>
      <c r="F7">
        <v>41103.699999999997</v>
      </c>
      <c r="G7">
        <v>173555.1</v>
      </c>
      <c r="H7">
        <v>0.18290960451977401</v>
      </c>
    </row>
    <row r="8" spans="1:8" x14ac:dyDescent="0.25">
      <c r="A8" s="1">
        <v>45444</v>
      </c>
      <c r="B8" s="2" t="s">
        <v>14</v>
      </c>
      <c r="C8">
        <v>498</v>
      </c>
      <c r="D8">
        <v>64</v>
      </c>
      <c r="E8">
        <v>81259.399999999994</v>
      </c>
      <c r="F8">
        <v>12877</v>
      </c>
      <c r="G8">
        <v>68382.399999999994</v>
      </c>
      <c r="H8">
        <v>0.1285140562248995</v>
      </c>
    </row>
    <row r="9" spans="1:8" x14ac:dyDescent="0.25">
      <c r="A9" s="1">
        <v>45444</v>
      </c>
      <c r="B9" s="2" t="s">
        <v>15</v>
      </c>
      <c r="C9">
        <v>349</v>
      </c>
      <c r="D9">
        <v>8</v>
      </c>
      <c r="E9">
        <v>69000</v>
      </c>
      <c r="F9">
        <v>1630</v>
      </c>
      <c r="G9">
        <v>67370</v>
      </c>
      <c r="H9">
        <v>2.2922636103151799E-2</v>
      </c>
    </row>
    <row r="10" spans="1:8" x14ac:dyDescent="0.25">
      <c r="A10" s="1">
        <v>45474</v>
      </c>
      <c r="B10" s="2" t="s">
        <v>12</v>
      </c>
      <c r="C10">
        <v>109</v>
      </c>
      <c r="D10">
        <v>16</v>
      </c>
      <c r="E10">
        <v>19568.3</v>
      </c>
      <c r="F10">
        <v>2678.1</v>
      </c>
      <c r="G10">
        <v>16890.2</v>
      </c>
      <c r="H10">
        <v>0.146788990825688</v>
      </c>
    </row>
    <row r="11" spans="1:8" x14ac:dyDescent="0.25">
      <c r="A11" s="1">
        <v>45474</v>
      </c>
      <c r="B11" s="2" t="s">
        <v>13</v>
      </c>
      <c r="C11">
        <v>1394</v>
      </c>
      <c r="D11">
        <v>239</v>
      </c>
      <c r="E11">
        <v>220599.6</v>
      </c>
      <c r="F11">
        <v>36371.599999999999</v>
      </c>
      <c r="G11">
        <v>184228</v>
      </c>
      <c r="H11">
        <v>0.1714490674318507</v>
      </c>
    </row>
    <row r="12" spans="1:8" x14ac:dyDescent="0.25">
      <c r="A12" s="1">
        <v>45474</v>
      </c>
      <c r="B12" s="2" t="s">
        <v>14</v>
      </c>
      <c r="C12">
        <v>391</v>
      </c>
      <c r="D12">
        <v>60</v>
      </c>
      <c r="E12">
        <v>63176.3</v>
      </c>
      <c r="F12">
        <v>9179.7999999999993</v>
      </c>
      <c r="G12">
        <v>53996.5</v>
      </c>
      <c r="H12">
        <v>0.15345268542199481</v>
      </c>
    </row>
    <row r="13" spans="1:8" x14ac:dyDescent="0.25">
      <c r="A13" s="1">
        <v>45474</v>
      </c>
      <c r="B13" s="2" t="s">
        <v>15</v>
      </c>
      <c r="C13">
        <v>318</v>
      </c>
      <c r="D13">
        <v>12</v>
      </c>
      <c r="E13">
        <v>63530</v>
      </c>
      <c r="F13">
        <v>2870</v>
      </c>
      <c r="G13">
        <v>60660</v>
      </c>
      <c r="H13">
        <v>3.7735849056603703E-2</v>
      </c>
    </row>
    <row r="14" spans="1:8" x14ac:dyDescent="0.25">
      <c r="A14" s="1">
        <v>45505</v>
      </c>
      <c r="B14" s="2" t="s">
        <v>12</v>
      </c>
      <c r="C14">
        <v>118</v>
      </c>
      <c r="D14">
        <v>16</v>
      </c>
      <c r="E14">
        <v>19268.099999999999</v>
      </c>
      <c r="F14">
        <v>3160</v>
      </c>
      <c r="G14">
        <v>16108.1</v>
      </c>
      <c r="H14">
        <v>0.13559322033898299</v>
      </c>
    </row>
    <row r="15" spans="1:8" x14ac:dyDescent="0.25">
      <c r="A15" s="1">
        <v>45505</v>
      </c>
      <c r="B15" s="2" t="s">
        <v>13</v>
      </c>
      <c r="C15">
        <v>1349</v>
      </c>
      <c r="D15">
        <v>253</v>
      </c>
      <c r="E15">
        <v>212233.5</v>
      </c>
      <c r="F15">
        <v>39302.5</v>
      </c>
      <c r="G15">
        <v>172931</v>
      </c>
      <c r="H15">
        <v>0.18754633061527051</v>
      </c>
    </row>
    <row r="16" spans="1:8" x14ac:dyDescent="0.25">
      <c r="A16" s="1">
        <v>45505</v>
      </c>
      <c r="B16" s="2" t="s">
        <v>14</v>
      </c>
      <c r="C16">
        <v>391</v>
      </c>
      <c r="D16">
        <v>54</v>
      </c>
      <c r="E16">
        <v>60553.5</v>
      </c>
      <c r="F16">
        <v>7694.6</v>
      </c>
      <c r="G16">
        <v>52858.9</v>
      </c>
      <c r="H16">
        <v>0.1381074168797953</v>
      </c>
    </row>
    <row r="17" spans="1:8" x14ac:dyDescent="0.25">
      <c r="A17" s="1">
        <v>45505</v>
      </c>
      <c r="B17" s="2" t="s">
        <v>15</v>
      </c>
      <c r="C17">
        <v>354</v>
      </c>
      <c r="D17">
        <v>18</v>
      </c>
      <c r="E17">
        <v>69420</v>
      </c>
      <c r="F17">
        <v>3940</v>
      </c>
      <c r="G17">
        <v>65480</v>
      </c>
      <c r="H17">
        <v>5.0847457627118599E-2</v>
      </c>
    </row>
    <row r="18" spans="1:8" x14ac:dyDescent="0.25">
      <c r="A18" s="1">
        <v>45536</v>
      </c>
      <c r="B18" s="2" t="s">
        <v>12</v>
      </c>
      <c r="C18">
        <v>108</v>
      </c>
      <c r="D18">
        <v>15</v>
      </c>
      <c r="E18">
        <v>13690.7</v>
      </c>
      <c r="F18">
        <v>2038.2</v>
      </c>
      <c r="G18">
        <v>11652.5</v>
      </c>
      <c r="H18">
        <v>0.1388888888888889</v>
      </c>
    </row>
    <row r="19" spans="1:8" x14ac:dyDescent="0.25">
      <c r="A19" s="1">
        <v>45536</v>
      </c>
      <c r="B19" s="2" t="s">
        <v>13</v>
      </c>
      <c r="C19">
        <v>1320</v>
      </c>
      <c r="D19">
        <v>239</v>
      </c>
      <c r="E19">
        <v>207043.20000000001</v>
      </c>
      <c r="F19">
        <v>39120.800000000003</v>
      </c>
      <c r="G19">
        <v>167922.4</v>
      </c>
      <c r="H19">
        <v>0.18106060606060601</v>
      </c>
    </row>
    <row r="20" spans="1:8" x14ac:dyDescent="0.25">
      <c r="A20" s="1">
        <v>45536</v>
      </c>
      <c r="B20" s="2" t="s">
        <v>14</v>
      </c>
      <c r="C20">
        <v>444</v>
      </c>
      <c r="D20">
        <v>62</v>
      </c>
      <c r="E20">
        <v>71834.7</v>
      </c>
      <c r="F20">
        <v>10088.299999999999</v>
      </c>
      <c r="G20">
        <v>61746.400000000001</v>
      </c>
      <c r="H20">
        <v>0.1396396396396396</v>
      </c>
    </row>
    <row r="21" spans="1:8" x14ac:dyDescent="0.25">
      <c r="A21" s="1">
        <v>45536</v>
      </c>
      <c r="B21" s="2" t="s">
        <v>15</v>
      </c>
      <c r="C21">
        <v>338</v>
      </c>
      <c r="D21">
        <v>7</v>
      </c>
      <c r="E21">
        <v>64300</v>
      </c>
      <c r="F21">
        <v>1260</v>
      </c>
      <c r="G21">
        <v>63040</v>
      </c>
      <c r="H21">
        <v>2.07100591715976E-2</v>
      </c>
    </row>
    <row r="22" spans="1:8" x14ac:dyDescent="0.25">
      <c r="A22" s="1">
        <v>45566</v>
      </c>
      <c r="B22" s="2" t="s">
        <v>12</v>
      </c>
      <c r="C22">
        <v>127</v>
      </c>
      <c r="D22">
        <v>20</v>
      </c>
      <c r="E22">
        <v>17767.099999999999</v>
      </c>
      <c r="F22">
        <v>2891.4</v>
      </c>
      <c r="G22">
        <v>14875.7</v>
      </c>
      <c r="H22">
        <v>0.15748031496062989</v>
      </c>
    </row>
    <row r="23" spans="1:8" x14ac:dyDescent="0.25">
      <c r="A23" s="1">
        <v>45566</v>
      </c>
      <c r="B23" s="2" t="s">
        <v>13</v>
      </c>
      <c r="C23">
        <v>1484</v>
      </c>
      <c r="D23">
        <v>291</v>
      </c>
      <c r="E23">
        <v>229344.9</v>
      </c>
      <c r="F23">
        <v>46997.1</v>
      </c>
      <c r="G23">
        <v>182347.8</v>
      </c>
      <c r="H23">
        <v>0.1960916442048517</v>
      </c>
    </row>
    <row r="24" spans="1:8" x14ac:dyDescent="0.25">
      <c r="A24" s="1">
        <v>45566</v>
      </c>
      <c r="B24" s="2" t="s">
        <v>14</v>
      </c>
      <c r="C24">
        <v>530</v>
      </c>
      <c r="D24">
        <v>77</v>
      </c>
      <c r="E24">
        <v>77301.5</v>
      </c>
      <c r="F24">
        <v>10641.3</v>
      </c>
      <c r="G24">
        <v>66660.2</v>
      </c>
      <c r="H24">
        <v>0.1452830188679245</v>
      </c>
    </row>
    <row r="25" spans="1:8" x14ac:dyDescent="0.25">
      <c r="A25" s="1">
        <v>45566</v>
      </c>
      <c r="B25" s="2" t="s">
        <v>15</v>
      </c>
      <c r="C25">
        <v>390</v>
      </c>
      <c r="D25">
        <v>15</v>
      </c>
      <c r="E25">
        <v>83230</v>
      </c>
      <c r="F25">
        <v>3670</v>
      </c>
      <c r="G25">
        <v>79560</v>
      </c>
      <c r="H25">
        <v>3.8461538461538401E-2</v>
      </c>
    </row>
    <row r="26" spans="1:8" x14ac:dyDescent="0.25">
      <c r="A26" s="1">
        <v>45597</v>
      </c>
      <c r="B26" s="2" t="s">
        <v>12</v>
      </c>
      <c r="C26">
        <v>171</v>
      </c>
      <c r="D26">
        <v>30</v>
      </c>
      <c r="E26">
        <v>31181.3</v>
      </c>
      <c r="F26">
        <v>5079.7</v>
      </c>
      <c r="G26">
        <v>26101.599999999999</v>
      </c>
      <c r="H26">
        <v>0.175438596491228</v>
      </c>
    </row>
    <row r="27" spans="1:8" x14ac:dyDescent="0.25">
      <c r="A27" s="1">
        <v>45597</v>
      </c>
      <c r="B27" s="2" t="s">
        <v>13</v>
      </c>
      <c r="C27">
        <v>1818</v>
      </c>
      <c r="D27">
        <v>293</v>
      </c>
      <c r="E27">
        <v>287481</v>
      </c>
      <c r="F27">
        <v>46436.2</v>
      </c>
      <c r="G27">
        <v>241044.8</v>
      </c>
      <c r="H27">
        <v>0.16116611661166111</v>
      </c>
    </row>
    <row r="28" spans="1:8" x14ac:dyDescent="0.25">
      <c r="A28" s="1">
        <v>45597</v>
      </c>
      <c r="B28" s="2" t="s">
        <v>14</v>
      </c>
      <c r="C28">
        <v>620</v>
      </c>
      <c r="D28">
        <v>81</v>
      </c>
      <c r="E28">
        <v>95210.8</v>
      </c>
      <c r="F28">
        <v>13588</v>
      </c>
      <c r="G28">
        <v>81622.8</v>
      </c>
      <c r="H28">
        <v>0.1306451612903225</v>
      </c>
    </row>
    <row r="29" spans="1:8" x14ac:dyDescent="0.25">
      <c r="A29" s="1">
        <v>45597</v>
      </c>
      <c r="B29" s="2" t="s">
        <v>15</v>
      </c>
      <c r="C29">
        <v>439</v>
      </c>
      <c r="D29">
        <v>18</v>
      </c>
      <c r="E29">
        <v>88230</v>
      </c>
      <c r="F29">
        <v>3150</v>
      </c>
      <c r="G29">
        <v>85080</v>
      </c>
      <c r="H29">
        <v>4.1002277904327998E-2</v>
      </c>
    </row>
    <row r="30" spans="1:8" x14ac:dyDescent="0.25">
      <c r="A30" s="1">
        <v>45627</v>
      </c>
      <c r="B30" s="2" t="s">
        <v>12</v>
      </c>
      <c r="C30">
        <v>181</v>
      </c>
      <c r="D30">
        <v>33</v>
      </c>
      <c r="E30">
        <v>28724.400000000001</v>
      </c>
      <c r="F30">
        <v>5135</v>
      </c>
      <c r="G30">
        <v>23589.4</v>
      </c>
      <c r="H30">
        <v>0.1823204419889502</v>
      </c>
    </row>
    <row r="31" spans="1:8" x14ac:dyDescent="0.25">
      <c r="A31" s="1">
        <v>45627</v>
      </c>
      <c r="B31" s="2" t="s">
        <v>13</v>
      </c>
      <c r="C31">
        <v>1997</v>
      </c>
      <c r="D31">
        <v>342</v>
      </c>
      <c r="E31">
        <v>309656.3</v>
      </c>
      <c r="F31">
        <v>54265.1</v>
      </c>
      <c r="G31">
        <v>255391.2</v>
      </c>
      <c r="H31">
        <v>0.17125688532799199</v>
      </c>
    </row>
    <row r="32" spans="1:8" x14ac:dyDescent="0.25">
      <c r="A32" s="1">
        <v>45627</v>
      </c>
      <c r="B32" s="2" t="s">
        <v>14</v>
      </c>
      <c r="C32">
        <v>737</v>
      </c>
      <c r="D32">
        <v>65</v>
      </c>
      <c r="E32">
        <v>112851.5</v>
      </c>
      <c r="F32">
        <v>9638</v>
      </c>
      <c r="G32">
        <v>103213.5</v>
      </c>
      <c r="H32">
        <v>8.8195386702849293E-2</v>
      </c>
    </row>
    <row r="33" spans="1:8" x14ac:dyDescent="0.25">
      <c r="A33" s="1">
        <v>45627</v>
      </c>
      <c r="B33" s="2" t="s">
        <v>15</v>
      </c>
      <c r="C33">
        <v>517</v>
      </c>
      <c r="D33">
        <v>24</v>
      </c>
      <c r="E33">
        <v>99340</v>
      </c>
      <c r="F33">
        <v>5290</v>
      </c>
      <c r="G33">
        <v>94050</v>
      </c>
      <c r="H33">
        <v>4.6421663442939999E-2</v>
      </c>
    </row>
    <row r="34" spans="1:8" x14ac:dyDescent="0.25">
      <c r="A34" s="1">
        <v>45658</v>
      </c>
      <c r="B34" s="2" t="s">
        <v>12</v>
      </c>
      <c r="C34">
        <v>96</v>
      </c>
      <c r="D34">
        <v>10</v>
      </c>
      <c r="E34">
        <v>13840.8</v>
      </c>
      <c r="F34">
        <v>1279.8</v>
      </c>
      <c r="G34">
        <v>12561</v>
      </c>
      <c r="H34">
        <v>0.1041666666666666</v>
      </c>
    </row>
    <row r="35" spans="1:8" x14ac:dyDescent="0.25">
      <c r="A35" s="1">
        <v>45658</v>
      </c>
      <c r="B35" s="2" t="s">
        <v>13</v>
      </c>
      <c r="C35">
        <v>1179</v>
      </c>
      <c r="D35">
        <v>217</v>
      </c>
      <c r="E35">
        <v>186021.3</v>
      </c>
      <c r="F35">
        <v>35320.9</v>
      </c>
      <c r="G35">
        <v>150700.4</v>
      </c>
      <c r="H35">
        <v>0.18405428329092449</v>
      </c>
    </row>
    <row r="36" spans="1:8" x14ac:dyDescent="0.25">
      <c r="A36" s="1">
        <v>45658</v>
      </c>
      <c r="B36" s="2" t="s">
        <v>14</v>
      </c>
      <c r="C36">
        <v>427</v>
      </c>
      <c r="D36">
        <v>49</v>
      </c>
      <c r="E36">
        <v>64227</v>
      </c>
      <c r="F36">
        <v>7031</v>
      </c>
      <c r="G36">
        <v>57196</v>
      </c>
      <c r="H36">
        <v>0.1147540983606557</v>
      </c>
    </row>
    <row r="37" spans="1:8" x14ac:dyDescent="0.25">
      <c r="A37" s="1">
        <v>45658</v>
      </c>
      <c r="B37" s="2" t="s">
        <v>15</v>
      </c>
      <c r="C37">
        <v>314</v>
      </c>
      <c r="D37">
        <v>21</v>
      </c>
      <c r="E37">
        <v>61810</v>
      </c>
      <c r="F37">
        <v>4480</v>
      </c>
      <c r="G37">
        <v>57330</v>
      </c>
      <c r="H37">
        <v>6.6878980891719703E-2</v>
      </c>
    </row>
    <row r="38" spans="1:8" x14ac:dyDescent="0.25">
      <c r="A38" s="1">
        <v>45689</v>
      </c>
      <c r="B38" s="2" t="s">
        <v>12</v>
      </c>
      <c r="C38">
        <v>98</v>
      </c>
      <c r="D38">
        <v>15</v>
      </c>
      <c r="E38">
        <v>15634.1</v>
      </c>
      <c r="F38">
        <v>2196.1999999999998</v>
      </c>
      <c r="G38">
        <v>13437.9</v>
      </c>
      <c r="H38">
        <v>0.15306122448979589</v>
      </c>
    </row>
    <row r="39" spans="1:8" x14ac:dyDescent="0.25">
      <c r="A39" s="1">
        <v>45689</v>
      </c>
      <c r="B39" s="2" t="s">
        <v>13</v>
      </c>
      <c r="C39">
        <v>1034</v>
      </c>
      <c r="D39">
        <v>194</v>
      </c>
      <c r="E39">
        <v>168586</v>
      </c>
      <c r="F39">
        <v>29941</v>
      </c>
      <c r="G39">
        <v>138645</v>
      </c>
      <c r="H39">
        <v>0.18762088974854929</v>
      </c>
    </row>
    <row r="40" spans="1:8" x14ac:dyDescent="0.25">
      <c r="A40" s="1">
        <v>45689</v>
      </c>
      <c r="B40" s="2" t="s">
        <v>14</v>
      </c>
      <c r="C40">
        <v>331</v>
      </c>
      <c r="D40">
        <v>28</v>
      </c>
      <c r="E40">
        <v>51895.1</v>
      </c>
      <c r="F40">
        <v>4819</v>
      </c>
      <c r="G40">
        <v>47076.1</v>
      </c>
      <c r="H40">
        <v>8.4592145015105702E-2</v>
      </c>
    </row>
    <row r="41" spans="1:8" x14ac:dyDescent="0.25">
      <c r="A41" s="1">
        <v>45689</v>
      </c>
      <c r="B41" s="2" t="s">
        <v>15</v>
      </c>
      <c r="C41">
        <v>256</v>
      </c>
      <c r="D41">
        <v>15</v>
      </c>
      <c r="E41">
        <v>50380</v>
      </c>
      <c r="F41">
        <v>3180</v>
      </c>
      <c r="G41">
        <v>47200</v>
      </c>
      <c r="H41">
        <v>5.859375E-2</v>
      </c>
    </row>
    <row r="42" spans="1:8" x14ac:dyDescent="0.25">
      <c r="A42" s="1">
        <v>45717</v>
      </c>
      <c r="B42" s="2" t="s">
        <v>12</v>
      </c>
      <c r="C42">
        <v>103</v>
      </c>
      <c r="D42">
        <v>11</v>
      </c>
      <c r="E42">
        <v>15152.2</v>
      </c>
      <c r="F42">
        <v>1303.5</v>
      </c>
      <c r="G42">
        <v>13848.7</v>
      </c>
      <c r="H42">
        <v>0.10679611650485429</v>
      </c>
    </row>
    <row r="43" spans="1:8" x14ac:dyDescent="0.25">
      <c r="A43" s="1">
        <v>45717</v>
      </c>
      <c r="B43" s="2" t="s">
        <v>13</v>
      </c>
      <c r="C43">
        <v>1412</v>
      </c>
      <c r="D43">
        <v>252</v>
      </c>
      <c r="E43">
        <v>218482.4</v>
      </c>
      <c r="F43">
        <v>40361.1</v>
      </c>
      <c r="G43">
        <v>178121.3</v>
      </c>
      <c r="H43">
        <v>0.17847025495750701</v>
      </c>
    </row>
    <row r="44" spans="1:8" x14ac:dyDescent="0.25">
      <c r="A44" s="1">
        <v>45717</v>
      </c>
      <c r="B44" s="2" t="s">
        <v>14</v>
      </c>
      <c r="C44">
        <v>488</v>
      </c>
      <c r="D44">
        <v>61</v>
      </c>
      <c r="E44">
        <v>78526</v>
      </c>
      <c r="F44">
        <v>11470.8</v>
      </c>
      <c r="G44">
        <v>67055.199999999997</v>
      </c>
      <c r="H44">
        <v>0.125</v>
      </c>
    </row>
    <row r="45" spans="1:8" x14ac:dyDescent="0.25">
      <c r="A45" s="1">
        <v>45717</v>
      </c>
      <c r="B45" s="2" t="s">
        <v>15</v>
      </c>
      <c r="C45">
        <v>364</v>
      </c>
      <c r="D45">
        <v>18</v>
      </c>
      <c r="E45">
        <v>71610</v>
      </c>
      <c r="F45">
        <v>4520</v>
      </c>
      <c r="G45">
        <v>67090</v>
      </c>
      <c r="H45">
        <v>4.94505494505494E-2</v>
      </c>
    </row>
    <row r="46" spans="1:8" x14ac:dyDescent="0.25">
      <c r="A46" s="1">
        <v>45748</v>
      </c>
      <c r="B46" s="2" t="s">
        <v>12</v>
      </c>
      <c r="C46">
        <v>148</v>
      </c>
      <c r="D46">
        <v>19</v>
      </c>
      <c r="E46">
        <v>20255.599999999999</v>
      </c>
      <c r="F46">
        <v>3041.5</v>
      </c>
      <c r="G46">
        <v>17214.099999999999</v>
      </c>
      <c r="H46">
        <v>0.12837837837837829</v>
      </c>
    </row>
    <row r="47" spans="1:8" x14ac:dyDescent="0.25">
      <c r="A47" s="1">
        <v>45748</v>
      </c>
      <c r="B47" s="2" t="s">
        <v>13</v>
      </c>
      <c r="C47">
        <v>1500</v>
      </c>
      <c r="D47">
        <v>286</v>
      </c>
      <c r="E47">
        <v>229921.6</v>
      </c>
      <c r="F47">
        <v>42636.3</v>
      </c>
      <c r="G47">
        <v>187285.3</v>
      </c>
      <c r="H47">
        <v>0.1906666666666666</v>
      </c>
    </row>
    <row r="48" spans="1:8" x14ac:dyDescent="0.25">
      <c r="A48" s="1">
        <v>45748</v>
      </c>
      <c r="B48" s="2" t="s">
        <v>14</v>
      </c>
      <c r="C48">
        <v>484</v>
      </c>
      <c r="D48">
        <v>76</v>
      </c>
      <c r="E48">
        <v>74038.8</v>
      </c>
      <c r="F48">
        <v>11778.9</v>
      </c>
      <c r="G48">
        <v>62259.9</v>
      </c>
      <c r="H48">
        <v>0.1570247933884297</v>
      </c>
    </row>
    <row r="49" spans="1:8" x14ac:dyDescent="0.25">
      <c r="A49" s="1">
        <v>45748</v>
      </c>
      <c r="B49" s="2" t="s">
        <v>15</v>
      </c>
      <c r="C49">
        <v>374</v>
      </c>
      <c r="D49">
        <v>17</v>
      </c>
      <c r="E49">
        <v>70780</v>
      </c>
      <c r="F49">
        <v>4150</v>
      </c>
      <c r="G49">
        <v>66630</v>
      </c>
      <c r="H49">
        <v>4.54545454545454E-2</v>
      </c>
    </row>
    <row r="50" spans="1:8" x14ac:dyDescent="0.25">
      <c r="A50" s="1">
        <v>45778</v>
      </c>
      <c r="B50" s="2" t="s">
        <v>12</v>
      </c>
      <c r="C50">
        <v>161</v>
      </c>
      <c r="D50">
        <v>26</v>
      </c>
      <c r="E50">
        <v>24837.599999999999</v>
      </c>
      <c r="F50">
        <v>3673.5</v>
      </c>
      <c r="G50">
        <v>21164.1</v>
      </c>
      <c r="H50">
        <v>0.16149068322981361</v>
      </c>
    </row>
    <row r="51" spans="1:8" x14ac:dyDescent="0.25">
      <c r="A51" s="1">
        <v>45778</v>
      </c>
      <c r="B51" s="2" t="s">
        <v>13</v>
      </c>
      <c r="C51">
        <v>1623</v>
      </c>
      <c r="D51">
        <v>270</v>
      </c>
      <c r="E51">
        <v>251141</v>
      </c>
      <c r="F51">
        <v>44769.3</v>
      </c>
      <c r="G51">
        <v>206371.7</v>
      </c>
      <c r="H51">
        <v>0.166358595194085</v>
      </c>
    </row>
    <row r="52" spans="1:8" x14ac:dyDescent="0.25">
      <c r="A52" s="1">
        <v>45778</v>
      </c>
      <c r="B52" s="2" t="s">
        <v>14</v>
      </c>
      <c r="C52">
        <v>514</v>
      </c>
      <c r="D52">
        <v>69</v>
      </c>
      <c r="E52">
        <v>75642.5</v>
      </c>
      <c r="F52">
        <v>10206.799999999999</v>
      </c>
      <c r="G52">
        <v>65435.7</v>
      </c>
      <c r="H52">
        <v>0.13424124513618671</v>
      </c>
    </row>
    <row r="53" spans="1:8" x14ac:dyDescent="0.25">
      <c r="A53" s="1">
        <v>45778</v>
      </c>
      <c r="B53" s="2" t="s">
        <v>15</v>
      </c>
      <c r="C53">
        <v>380</v>
      </c>
      <c r="D53">
        <v>18</v>
      </c>
      <c r="E53">
        <v>73050</v>
      </c>
      <c r="F53">
        <v>4100</v>
      </c>
      <c r="G53">
        <v>68950</v>
      </c>
      <c r="H53">
        <v>4.7368421052631497E-2</v>
      </c>
    </row>
    <row r="54" spans="1:8" x14ac:dyDescent="0.25">
      <c r="A54" s="1">
        <v>45809</v>
      </c>
      <c r="B54" s="2" t="s">
        <v>12</v>
      </c>
      <c r="C54">
        <v>151</v>
      </c>
      <c r="D54">
        <v>23</v>
      </c>
      <c r="E54">
        <v>22894.2</v>
      </c>
      <c r="F54">
        <v>2701.8</v>
      </c>
      <c r="G54">
        <v>20192.400000000001</v>
      </c>
      <c r="H54">
        <v>0.15231788079470199</v>
      </c>
    </row>
    <row r="55" spans="1:8" x14ac:dyDescent="0.25">
      <c r="A55" s="1">
        <v>45809</v>
      </c>
      <c r="B55" s="2" t="s">
        <v>13</v>
      </c>
      <c r="C55">
        <v>1603</v>
      </c>
      <c r="D55">
        <v>289</v>
      </c>
      <c r="E55">
        <v>258093</v>
      </c>
      <c r="F55">
        <v>42699.5</v>
      </c>
      <c r="G55">
        <v>215393.5</v>
      </c>
      <c r="H55">
        <v>0.1802869619463506</v>
      </c>
    </row>
    <row r="56" spans="1:8" x14ac:dyDescent="0.25">
      <c r="A56" s="1">
        <v>45809</v>
      </c>
      <c r="B56" s="2" t="s">
        <v>14</v>
      </c>
      <c r="C56">
        <v>606</v>
      </c>
      <c r="D56">
        <v>79</v>
      </c>
      <c r="E56">
        <v>101451.8</v>
      </c>
      <c r="F56">
        <v>13430</v>
      </c>
      <c r="G56">
        <v>88021.8</v>
      </c>
      <c r="H56">
        <v>0.1303630363036303</v>
      </c>
    </row>
    <row r="57" spans="1:8" x14ac:dyDescent="0.25">
      <c r="A57" s="1">
        <v>45809</v>
      </c>
      <c r="B57" s="2" t="s">
        <v>15</v>
      </c>
      <c r="C57">
        <v>445</v>
      </c>
      <c r="D57">
        <v>17</v>
      </c>
      <c r="E57">
        <v>88340</v>
      </c>
      <c r="F57">
        <v>2720</v>
      </c>
      <c r="G57">
        <v>85620</v>
      </c>
      <c r="H57">
        <v>3.8202247191011202E-2</v>
      </c>
    </row>
    <row r="58" spans="1:8" x14ac:dyDescent="0.25">
      <c r="A58" s="1">
        <v>45839</v>
      </c>
      <c r="B58" s="2" t="s">
        <v>12</v>
      </c>
      <c r="C58">
        <v>145</v>
      </c>
      <c r="D58">
        <v>19</v>
      </c>
      <c r="E58">
        <v>21764.5</v>
      </c>
      <c r="F58">
        <v>2717.6</v>
      </c>
      <c r="G58">
        <v>19046.900000000001</v>
      </c>
      <c r="H58">
        <v>0.1310344827586207</v>
      </c>
    </row>
    <row r="59" spans="1:8" x14ac:dyDescent="0.25">
      <c r="A59" s="1">
        <v>45839</v>
      </c>
      <c r="B59" s="2" t="s">
        <v>13</v>
      </c>
      <c r="C59">
        <v>1654</v>
      </c>
      <c r="D59">
        <v>315</v>
      </c>
      <c r="E59">
        <v>259112.1</v>
      </c>
      <c r="F59">
        <v>51626.5</v>
      </c>
      <c r="G59">
        <v>207485.6</v>
      </c>
      <c r="H59">
        <v>0.1904474002418379</v>
      </c>
    </row>
    <row r="60" spans="1:8" x14ac:dyDescent="0.25">
      <c r="A60" s="1">
        <v>45839</v>
      </c>
      <c r="B60" s="2" t="s">
        <v>14</v>
      </c>
      <c r="C60">
        <v>486</v>
      </c>
      <c r="D60">
        <v>88</v>
      </c>
      <c r="E60">
        <v>74520.7</v>
      </c>
      <c r="F60">
        <v>12197.6</v>
      </c>
      <c r="G60">
        <v>62323.1</v>
      </c>
      <c r="H60">
        <v>0.18106995884773661</v>
      </c>
    </row>
    <row r="61" spans="1:8" x14ac:dyDescent="0.25">
      <c r="A61" s="1">
        <v>45839</v>
      </c>
      <c r="B61" s="2" t="s">
        <v>15</v>
      </c>
      <c r="C61">
        <v>437</v>
      </c>
      <c r="D61">
        <v>18</v>
      </c>
      <c r="E61">
        <v>85750</v>
      </c>
      <c r="F61">
        <v>2810</v>
      </c>
      <c r="G61">
        <v>82940</v>
      </c>
      <c r="H61">
        <v>4.1189931350114402E-2</v>
      </c>
    </row>
    <row r="62" spans="1:8" x14ac:dyDescent="0.25">
      <c r="A62" s="1">
        <v>45870</v>
      </c>
      <c r="B62" s="2" t="s">
        <v>12</v>
      </c>
      <c r="C62">
        <v>110</v>
      </c>
      <c r="D62">
        <v>12</v>
      </c>
      <c r="E62">
        <v>16455.7</v>
      </c>
      <c r="F62">
        <v>1390.4</v>
      </c>
      <c r="G62">
        <v>15065.3</v>
      </c>
      <c r="H62">
        <v>0.109090909090909</v>
      </c>
    </row>
    <row r="63" spans="1:8" x14ac:dyDescent="0.25">
      <c r="A63" s="1">
        <v>45870</v>
      </c>
      <c r="B63" s="2" t="s">
        <v>13</v>
      </c>
      <c r="C63">
        <v>1538</v>
      </c>
      <c r="D63">
        <v>271</v>
      </c>
      <c r="E63">
        <v>234716.9</v>
      </c>
      <c r="F63">
        <v>43110.3</v>
      </c>
      <c r="G63">
        <v>191606.6</v>
      </c>
      <c r="H63">
        <v>0.1762028608582574</v>
      </c>
    </row>
    <row r="64" spans="1:8" x14ac:dyDescent="0.25">
      <c r="A64" s="1">
        <v>45870</v>
      </c>
      <c r="B64" s="2" t="s">
        <v>14</v>
      </c>
      <c r="C64">
        <v>542</v>
      </c>
      <c r="D64">
        <v>53</v>
      </c>
      <c r="E64">
        <v>83811.100000000006</v>
      </c>
      <c r="F64">
        <v>7915.8</v>
      </c>
      <c r="G64">
        <v>75895.3</v>
      </c>
      <c r="H64">
        <v>9.7785977859778495E-2</v>
      </c>
    </row>
    <row r="65" spans="1:8" x14ac:dyDescent="0.25">
      <c r="A65" s="1">
        <v>45870</v>
      </c>
      <c r="B65" s="2" t="s">
        <v>15</v>
      </c>
      <c r="C65">
        <v>367</v>
      </c>
      <c r="D65">
        <v>7</v>
      </c>
      <c r="E65">
        <v>71360</v>
      </c>
      <c r="F65">
        <v>2030</v>
      </c>
      <c r="G65">
        <v>69330</v>
      </c>
      <c r="H65">
        <v>1.9073569482288801E-2</v>
      </c>
    </row>
    <row r="66" spans="1:8" x14ac:dyDescent="0.25">
      <c r="A66" s="1">
        <v>45901</v>
      </c>
      <c r="B66" s="2" t="s">
        <v>12</v>
      </c>
      <c r="C66">
        <v>141</v>
      </c>
      <c r="D66">
        <v>20</v>
      </c>
      <c r="E66">
        <v>23723.7</v>
      </c>
      <c r="F66">
        <v>2425.3000000000002</v>
      </c>
      <c r="G66">
        <v>21298.400000000001</v>
      </c>
      <c r="H66">
        <v>0.1418439716312056</v>
      </c>
    </row>
    <row r="67" spans="1:8" x14ac:dyDescent="0.25">
      <c r="A67" s="1">
        <v>45901</v>
      </c>
      <c r="B67" s="2" t="s">
        <v>13</v>
      </c>
      <c r="C67">
        <v>1658</v>
      </c>
      <c r="D67">
        <v>298</v>
      </c>
      <c r="E67">
        <v>255170</v>
      </c>
      <c r="F67">
        <v>44437.5</v>
      </c>
      <c r="G67">
        <v>210732.5</v>
      </c>
      <c r="H67">
        <v>0.17973462002412541</v>
      </c>
    </row>
    <row r="68" spans="1:8" x14ac:dyDescent="0.25">
      <c r="A68" s="1">
        <v>45901</v>
      </c>
      <c r="B68" s="2" t="s">
        <v>14</v>
      </c>
      <c r="C68">
        <v>519</v>
      </c>
      <c r="D68">
        <v>70</v>
      </c>
      <c r="E68">
        <v>79837.399999999994</v>
      </c>
      <c r="F68">
        <v>11597.2</v>
      </c>
      <c r="G68">
        <v>68240.2</v>
      </c>
      <c r="H68">
        <v>0.13487475915221581</v>
      </c>
    </row>
    <row r="69" spans="1:8" x14ac:dyDescent="0.25">
      <c r="A69" s="1">
        <v>45901</v>
      </c>
      <c r="B69" s="2" t="s">
        <v>15</v>
      </c>
      <c r="C69">
        <v>371</v>
      </c>
      <c r="D69">
        <v>20</v>
      </c>
      <c r="E69">
        <v>72550</v>
      </c>
      <c r="F69">
        <v>2700</v>
      </c>
      <c r="G69">
        <v>69850</v>
      </c>
      <c r="H69">
        <v>5.3908355795148202E-2</v>
      </c>
    </row>
    <row r="70" spans="1:8" x14ac:dyDescent="0.25">
      <c r="A70" s="1">
        <v>45931</v>
      </c>
      <c r="B70" s="2" t="s">
        <v>12</v>
      </c>
      <c r="C70">
        <v>129</v>
      </c>
      <c r="D70">
        <v>21</v>
      </c>
      <c r="E70">
        <v>21867.200000000001</v>
      </c>
      <c r="F70">
        <v>2930.9</v>
      </c>
      <c r="G70">
        <v>18936.3</v>
      </c>
      <c r="H70">
        <v>0.16279069767441859</v>
      </c>
    </row>
    <row r="71" spans="1:8" x14ac:dyDescent="0.25">
      <c r="A71" s="1">
        <v>45931</v>
      </c>
      <c r="B71" s="2" t="s">
        <v>13</v>
      </c>
      <c r="C71">
        <v>1748</v>
      </c>
      <c r="D71">
        <v>323</v>
      </c>
      <c r="E71">
        <v>268718.5</v>
      </c>
      <c r="F71">
        <v>47747.6</v>
      </c>
      <c r="G71">
        <v>220970.9</v>
      </c>
      <c r="H71">
        <v>0.18478260869565211</v>
      </c>
    </row>
    <row r="72" spans="1:8" x14ac:dyDescent="0.25">
      <c r="A72" s="1">
        <v>45931</v>
      </c>
      <c r="B72" s="2" t="s">
        <v>14</v>
      </c>
      <c r="C72">
        <v>557</v>
      </c>
      <c r="D72">
        <v>82</v>
      </c>
      <c r="E72">
        <v>86386.5</v>
      </c>
      <c r="F72">
        <v>11936.9</v>
      </c>
      <c r="G72">
        <v>74449.600000000006</v>
      </c>
      <c r="H72">
        <v>0.14721723518850979</v>
      </c>
    </row>
    <row r="73" spans="1:8" x14ac:dyDescent="0.25">
      <c r="A73" s="1">
        <v>45931</v>
      </c>
      <c r="B73" s="2" t="s">
        <v>15</v>
      </c>
      <c r="C73">
        <v>394</v>
      </c>
      <c r="D73">
        <v>20</v>
      </c>
      <c r="E73">
        <v>78860</v>
      </c>
      <c r="F73">
        <v>3870</v>
      </c>
      <c r="G73">
        <v>74990</v>
      </c>
      <c r="H73">
        <v>5.0761421319796898E-2</v>
      </c>
    </row>
    <row r="74" spans="1:8" x14ac:dyDescent="0.25">
      <c r="A74" s="1">
        <v>45962</v>
      </c>
      <c r="B74" s="2" t="s">
        <v>12</v>
      </c>
      <c r="C74">
        <v>193</v>
      </c>
      <c r="D74">
        <v>27</v>
      </c>
      <c r="E74">
        <v>32018.7</v>
      </c>
      <c r="F74">
        <v>5040.2</v>
      </c>
      <c r="G74">
        <v>26978.5</v>
      </c>
      <c r="H74">
        <v>0.13989637305699479</v>
      </c>
    </row>
    <row r="75" spans="1:8" x14ac:dyDescent="0.25">
      <c r="A75" s="1">
        <v>45962</v>
      </c>
      <c r="B75" s="2" t="s">
        <v>13</v>
      </c>
      <c r="C75">
        <v>2142</v>
      </c>
      <c r="D75">
        <v>380</v>
      </c>
      <c r="E75">
        <v>331333.90000000002</v>
      </c>
      <c r="F75">
        <v>53396.1</v>
      </c>
      <c r="G75">
        <v>277937.8</v>
      </c>
      <c r="H75">
        <v>0.1774042950513538</v>
      </c>
    </row>
    <row r="76" spans="1:8" x14ac:dyDescent="0.25">
      <c r="A76" s="1">
        <v>45962</v>
      </c>
      <c r="B76" s="2" t="s">
        <v>14</v>
      </c>
      <c r="C76">
        <v>790</v>
      </c>
      <c r="D76">
        <v>118</v>
      </c>
      <c r="E76">
        <v>129259.8</v>
      </c>
      <c r="F76">
        <v>17893.5</v>
      </c>
      <c r="G76">
        <v>111366.3</v>
      </c>
      <c r="H76">
        <v>0.1493670886075949</v>
      </c>
    </row>
    <row r="77" spans="1:8" x14ac:dyDescent="0.25">
      <c r="A77" s="1">
        <v>45962</v>
      </c>
      <c r="B77" s="2" t="s">
        <v>15</v>
      </c>
      <c r="C77">
        <v>483</v>
      </c>
      <c r="D77">
        <v>25</v>
      </c>
      <c r="E77">
        <v>98630</v>
      </c>
      <c r="F77">
        <v>4970</v>
      </c>
      <c r="G77">
        <v>93660</v>
      </c>
      <c r="H77">
        <v>5.1759834368530003E-2</v>
      </c>
    </row>
    <row r="78" spans="1:8" x14ac:dyDescent="0.25">
      <c r="A78" s="1">
        <v>45992</v>
      </c>
      <c r="B78" s="2" t="s">
        <v>12</v>
      </c>
      <c r="C78">
        <v>187</v>
      </c>
      <c r="D78">
        <v>18</v>
      </c>
      <c r="E78">
        <v>27476.2</v>
      </c>
      <c r="F78">
        <v>3049.4</v>
      </c>
      <c r="G78">
        <v>24426.799999999999</v>
      </c>
      <c r="H78">
        <v>9.6256684491978606E-2</v>
      </c>
    </row>
    <row r="79" spans="1:8" x14ac:dyDescent="0.25">
      <c r="A79" s="1">
        <v>45992</v>
      </c>
      <c r="B79" s="2" t="s">
        <v>13</v>
      </c>
      <c r="C79">
        <v>2475</v>
      </c>
      <c r="D79">
        <v>445</v>
      </c>
      <c r="E79">
        <v>396264</v>
      </c>
      <c r="F79">
        <v>71629.3</v>
      </c>
      <c r="G79">
        <v>324634.7</v>
      </c>
      <c r="H79">
        <v>0.17979797979797971</v>
      </c>
    </row>
    <row r="80" spans="1:8" x14ac:dyDescent="0.25">
      <c r="A80" s="1">
        <v>45992</v>
      </c>
      <c r="B80" s="2" t="s">
        <v>14</v>
      </c>
      <c r="C80">
        <v>830</v>
      </c>
      <c r="D80">
        <v>103</v>
      </c>
      <c r="E80">
        <v>128217</v>
      </c>
      <c r="F80">
        <v>16566.3</v>
      </c>
      <c r="G80">
        <v>111650.7</v>
      </c>
      <c r="H80">
        <v>0.12409638554216861</v>
      </c>
    </row>
    <row r="81" spans="1:8" x14ac:dyDescent="0.25">
      <c r="A81" s="1">
        <v>45992</v>
      </c>
      <c r="B81" s="2" t="s">
        <v>15</v>
      </c>
      <c r="C81">
        <v>629</v>
      </c>
      <c r="D81">
        <v>23</v>
      </c>
      <c r="E81">
        <v>118870</v>
      </c>
      <c r="F81">
        <v>3470</v>
      </c>
      <c r="G81">
        <v>115400</v>
      </c>
      <c r="H81">
        <v>3.6565977742448297E-2</v>
      </c>
    </row>
    <row r="82" spans="1:8" x14ac:dyDescent="0.25">
      <c r="A82" s="1">
        <v>46023</v>
      </c>
      <c r="B82" s="2" t="s">
        <v>12</v>
      </c>
      <c r="C82">
        <v>134</v>
      </c>
      <c r="D82">
        <v>26</v>
      </c>
      <c r="E82">
        <v>22388.6</v>
      </c>
      <c r="F82">
        <v>5214</v>
      </c>
      <c r="G82">
        <v>17174.599999999999</v>
      </c>
      <c r="H82">
        <v>0.19402985074626861</v>
      </c>
    </row>
    <row r="83" spans="1:8" x14ac:dyDescent="0.25">
      <c r="A83" s="1">
        <v>46023</v>
      </c>
      <c r="B83" s="2" t="s">
        <v>13</v>
      </c>
      <c r="C83">
        <v>1502</v>
      </c>
      <c r="D83">
        <v>267</v>
      </c>
      <c r="E83">
        <v>237355.5</v>
      </c>
      <c r="F83">
        <v>41190.6</v>
      </c>
      <c r="G83">
        <v>196164.9</v>
      </c>
      <c r="H83">
        <v>0.177762982689747</v>
      </c>
    </row>
    <row r="84" spans="1:8" x14ac:dyDescent="0.25">
      <c r="A84" s="1">
        <v>46023</v>
      </c>
      <c r="B84" s="2" t="s">
        <v>14</v>
      </c>
      <c r="C84">
        <v>466</v>
      </c>
      <c r="D84">
        <v>69</v>
      </c>
      <c r="E84">
        <v>72300.800000000003</v>
      </c>
      <c r="F84">
        <v>11162.7</v>
      </c>
      <c r="G84">
        <v>61138.1</v>
      </c>
      <c r="H84">
        <v>0.14806866952789699</v>
      </c>
    </row>
    <row r="85" spans="1:8" x14ac:dyDescent="0.25">
      <c r="A85" s="1">
        <v>46023</v>
      </c>
      <c r="B85" s="2" t="s">
        <v>15</v>
      </c>
      <c r="C85">
        <v>361</v>
      </c>
      <c r="D85">
        <v>12</v>
      </c>
      <c r="E85">
        <v>70890</v>
      </c>
      <c r="F85">
        <v>2360</v>
      </c>
      <c r="G85">
        <v>68530</v>
      </c>
      <c r="H85">
        <v>3.3240997229916899E-2</v>
      </c>
    </row>
    <row r="86" spans="1:8" x14ac:dyDescent="0.25">
      <c r="A86" s="1">
        <v>46054</v>
      </c>
      <c r="B86" s="2" t="s">
        <v>12</v>
      </c>
      <c r="C86">
        <v>90</v>
      </c>
      <c r="D86">
        <v>18</v>
      </c>
      <c r="E86">
        <v>13990.9</v>
      </c>
      <c r="F86">
        <v>2899.3</v>
      </c>
      <c r="G86">
        <v>11091.6</v>
      </c>
      <c r="H86">
        <v>0.2</v>
      </c>
    </row>
    <row r="87" spans="1:8" x14ac:dyDescent="0.25">
      <c r="A87" s="1">
        <v>46054</v>
      </c>
      <c r="B87" s="2" t="s">
        <v>13</v>
      </c>
      <c r="C87">
        <v>1293</v>
      </c>
      <c r="D87">
        <v>211</v>
      </c>
      <c r="E87">
        <v>194284.7</v>
      </c>
      <c r="F87">
        <v>31473.599999999999</v>
      </c>
      <c r="G87">
        <v>162811.1</v>
      </c>
      <c r="H87">
        <v>0.1631863882443928</v>
      </c>
    </row>
    <row r="88" spans="1:8" x14ac:dyDescent="0.25">
      <c r="A88" s="1">
        <v>46054</v>
      </c>
      <c r="B88" s="2" t="s">
        <v>14</v>
      </c>
      <c r="C88">
        <v>452</v>
      </c>
      <c r="D88">
        <v>65</v>
      </c>
      <c r="E88">
        <v>69433.100000000006</v>
      </c>
      <c r="F88">
        <v>11391.8</v>
      </c>
      <c r="G88">
        <v>58041.3</v>
      </c>
      <c r="H88">
        <v>0.14380530973451319</v>
      </c>
    </row>
    <row r="89" spans="1:8" x14ac:dyDescent="0.25">
      <c r="A89" s="1">
        <v>46054</v>
      </c>
      <c r="B89" s="2" t="s">
        <v>15</v>
      </c>
      <c r="C89">
        <v>295</v>
      </c>
      <c r="D89">
        <v>11</v>
      </c>
      <c r="E89">
        <v>56530</v>
      </c>
      <c r="F89">
        <v>1480</v>
      </c>
      <c r="G89">
        <v>55050</v>
      </c>
      <c r="H89">
        <v>3.7288135593220299E-2</v>
      </c>
    </row>
    <row r="90" spans="1:8" x14ac:dyDescent="0.25">
      <c r="A90" s="1">
        <v>46082</v>
      </c>
      <c r="B90" s="2" t="s">
        <v>12</v>
      </c>
      <c r="C90">
        <v>165</v>
      </c>
      <c r="D90">
        <v>19</v>
      </c>
      <c r="E90">
        <v>24964</v>
      </c>
      <c r="F90">
        <v>3167.9</v>
      </c>
      <c r="G90">
        <v>21796.1</v>
      </c>
      <c r="H90">
        <v>0.1151515151515151</v>
      </c>
    </row>
    <row r="91" spans="1:8" x14ac:dyDescent="0.25">
      <c r="A91" s="1">
        <v>46082</v>
      </c>
      <c r="B91" s="2" t="s">
        <v>13</v>
      </c>
      <c r="C91">
        <v>1781</v>
      </c>
      <c r="D91">
        <v>313</v>
      </c>
      <c r="E91">
        <v>288831.90000000002</v>
      </c>
      <c r="F91">
        <v>52092.6</v>
      </c>
      <c r="G91">
        <v>236739.3</v>
      </c>
      <c r="H91">
        <v>0.1757439640651319</v>
      </c>
    </row>
    <row r="92" spans="1:8" x14ac:dyDescent="0.25">
      <c r="A92" s="1">
        <v>46082</v>
      </c>
      <c r="B92" s="2" t="s">
        <v>14</v>
      </c>
      <c r="C92">
        <v>522</v>
      </c>
      <c r="D92">
        <v>72</v>
      </c>
      <c r="E92">
        <v>82231.100000000006</v>
      </c>
      <c r="F92">
        <v>12711.1</v>
      </c>
      <c r="G92">
        <v>69520</v>
      </c>
      <c r="H92">
        <v>0.13793103448275859</v>
      </c>
    </row>
    <row r="93" spans="1:8" x14ac:dyDescent="0.25">
      <c r="A93" s="1">
        <v>46082</v>
      </c>
      <c r="B93" s="2" t="s">
        <v>15</v>
      </c>
      <c r="C93">
        <v>424</v>
      </c>
      <c r="D93">
        <v>13</v>
      </c>
      <c r="E93">
        <v>86330</v>
      </c>
      <c r="F93">
        <v>2430</v>
      </c>
      <c r="G93">
        <v>83900</v>
      </c>
      <c r="H93">
        <v>3.06603773584905E-2</v>
      </c>
    </row>
    <row r="94" spans="1:8" x14ac:dyDescent="0.25">
      <c r="A94" s="1">
        <v>46113</v>
      </c>
      <c r="B94" s="2" t="s">
        <v>12</v>
      </c>
      <c r="C94">
        <v>163</v>
      </c>
      <c r="D94">
        <v>24</v>
      </c>
      <c r="E94">
        <v>25240.5</v>
      </c>
      <c r="F94">
        <v>2875.6</v>
      </c>
      <c r="G94">
        <v>22364.9</v>
      </c>
      <c r="H94">
        <v>0.14723926380368099</v>
      </c>
    </row>
    <row r="95" spans="1:8" x14ac:dyDescent="0.25">
      <c r="A95" s="1">
        <v>46113</v>
      </c>
      <c r="B95" s="2" t="s">
        <v>13</v>
      </c>
      <c r="C95">
        <v>1811</v>
      </c>
      <c r="D95">
        <v>322</v>
      </c>
      <c r="E95">
        <v>300452.8</v>
      </c>
      <c r="F95">
        <v>53625.2</v>
      </c>
      <c r="G95">
        <v>246827.6</v>
      </c>
      <c r="H95">
        <v>0.1778023191606847</v>
      </c>
    </row>
    <row r="96" spans="1:8" x14ac:dyDescent="0.25">
      <c r="A96" s="1">
        <v>46113</v>
      </c>
      <c r="B96" s="2" t="s">
        <v>14</v>
      </c>
      <c r="C96">
        <v>615</v>
      </c>
      <c r="D96">
        <v>87</v>
      </c>
      <c r="E96">
        <v>99974.5</v>
      </c>
      <c r="F96">
        <v>13967.2</v>
      </c>
      <c r="G96">
        <v>86007.3</v>
      </c>
      <c r="H96">
        <v>0.1414634146341463</v>
      </c>
    </row>
    <row r="97" spans="1:8" x14ac:dyDescent="0.25">
      <c r="A97" s="1">
        <v>46113</v>
      </c>
      <c r="B97" s="2" t="s">
        <v>15</v>
      </c>
      <c r="C97">
        <v>483</v>
      </c>
      <c r="D97">
        <v>19</v>
      </c>
      <c r="E97">
        <v>98130</v>
      </c>
      <c r="F97">
        <v>4440</v>
      </c>
      <c r="G97">
        <v>93690</v>
      </c>
      <c r="H97">
        <v>3.9337474120082802E-2</v>
      </c>
    </row>
    <row r="98" spans="1:8" x14ac:dyDescent="0.25">
      <c r="A98" s="1">
        <v>46143</v>
      </c>
      <c r="B98" s="2" t="s">
        <v>12</v>
      </c>
      <c r="C98">
        <v>171</v>
      </c>
      <c r="D98">
        <v>26</v>
      </c>
      <c r="E98">
        <v>27958.1</v>
      </c>
      <c r="F98">
        <v>4029</v>
      </c>
      <c r="G98">
        <v>23929.1</v>
      </c>
      <c r="H98">
        <v>0.1520467836257309</v>
      </c>
    </row>
    <row r="99" spans="1:8" x14ac:dyDescent="0.25">
      <c r="A99" s="1">
        <v>46143</v>
      </c>
      <c r="B99" s="2" t="s">
        <v>13</v>
      </c>
      <c r="C99">
        <v>1814</v>
      </c>
      <c r="D99">
        <v>329</v>
      </c>
      <c r="E99">
        <v>293097.90000000002</v>
      </c>
      <c r="F99">
        <v>51326.3</v>
      </c>
      <c r="G99">
        <v>241771.6</v>
      </c>
      <c r="H99">
        <v>0.18136714443219401</v>
      </c>
    </row>
    <row r="100" spans="1:8" x14ac:dyDescent="0.25">
      <c r="A100" s="1">
        <v>46143</v>
      </c>
      <c r="B100" s="2" t="s">
        <v>14</v>
      </c>
      <c r="C100">
        <v>571</v>
      </c>
      <c r="D100">
        <v>78</v>
      </c>
      <c r="E100">
        <v>86038.9</v>
      </c>
      <c r="F100">
        <v>11589.3</v>
      </c>
      <c r="G100">
        <v>74449.600000000006</v>
      </c>
      <c r="H100">
        <v>0.13660245183887909</v>
      </c>
    </row>
    <row r="101" spans="1:8" x14ac:dyDescent="0.25">
      <c r="A101" s="1">
        <v>46143</v>
      </c>
      <c r="B101" s="2" t="s">
        <v>15</v>
      </c>
      <c r="C101">
        <v>429</v>
      </c>
      <c r="D101">
        <v>20</v>
      </c>
      <c r="E101">
        <v>89120</v>
      </c>
      <c r="F101">
        <v>4180</v>
      </c>
      <c r="G101">
        <v>84940</v>
      </c>
      <c r="H101">
        <v>4.6620046620046603E-2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6B564-A072-4610-9718-C3E5C6C462B2}">
  <dimension ref="A1:C29"/>
  <sheetViews>
    <sheetView workbookViewId="0"/>
  </sheetViews>
  <sheetFormatPr baseColWidth="10" defaultRowHeight="15" x14ac:dyDescent="0.25"/>
  <cols>
    <col min="1" max="1" width="17.85546875" bestFit="1" customWidth="1"/>
    <col min="2" max="2" width="25.140625" bestFit="1" customWidth="1"/>
    <col min="3" max="3" width="26" bestFit="1" customWidth="1"/>
  </cols>
  <sheetData>
    <row r="1" spans="1:3" x14ac:dyDescent="0.25">
      <c r="A1" s="5" t="s">
        <v>1</v>
      </c>
      <c r="B1" t="s">
        <v>33</v>
      </c>
    </row>
    <row r="3" spans="1:3" x14ac:dyDescent="0.25">
      <c r="A3" s="5" t="s">
        <v>21</v>
      </c>
      <c r="B3" t="s">
        <v>34</v>
      </c>
      <c r="C3" t="s">
        <v>23</v>
      </c>
    </row>
    <row r="4" spans="1:3" x14ac:dyDescent="0.25">
      <c r="A4" s="6">
        <v>45413</v>
      </c>
      <c r="B4" s="2">
        <v>38161.199999999997</v>
      </c>
      <c r="C4" s="2">
        <v>32038.799999999999</v>
      </c>
    </row>
    <row r="5" spans="1:3" x14ac:dyDescent="0.25">
      <c r="A5" s="6">
        <v>45444</v>
      </c>
      <c r="B5" s="2">
        <v>379588.5</v>
      </c>
      <c r="C5" s="2">
        <v>322690.09999999998</v>
      </c>
    </row>
    <row r="6" spans="1:3" x14ac:dyDescent="0.25">
      <c r="A6" s="6">
        <v>45474</v>
      </c>
      <c r="B6" s="2">
        <v>366874.2</v>
      </c>
      <c r="C6" s="2">
        <v>315774.7</v>
      </c>
    </row>
    <row r="7" spans="1:3" x14ac:dyDescent="0.25">
      <c r="A7" s="6">
        <v>45505</v>
      </c>
      <c r="B7" s="2">
        <v>361475.1</v>
      </c>
      <c r="C7" s="2">
        <v>307378</v>
      </c>
    </row>
    <row r="8" spans="1:3" x14ac:dyDescent="0.25">
      <c r="A8" s="6">
        <v>45536</v>
      </c>
      <c r="B8" s="2">
        <v>356868.60000000003</v>
      </c>
      <c r="C8" s="2">
        <v>304361.3</v>
      </c>
    </row>
    <row r="9" spans="1:3" x14ac:dyDescent="0.25">
      <c r="A9" s="6">
        <v>45566</v>
      </c>
      <c r="B9" s="2">
        <v>407643.5</v>
      </c>
      <c r="C9" s="2">
        <v>343443.7</v>
      </c>
    </row>
    <row r="10" spans="1:3" x14ac:dyDescent="0.25">
      <c r="A10" s="6">
        <v>45597</v>
      </c>
      <c r="B10" s="2">
        <v>502103.1</v>
      </c>
      <c r="C10" s="2">
        <v>433849.19999999995</v>
      </c>
    </row>
    <row r="11" spans="1:3" x14ac:dyDescent="0.25">
      <c r="A11" s="6">
        <v>45627</v>
      </c>
      <c r="B11" s="2">
        <v>550572.19999999995</v>
      </c>
      <c r="C11" s="2">
        <v>476244.10000000003</v>
      </c>
    </row>
    <row r="12" spans="1:3" x14ac:dyDescent="0.25">
      <c r="A12" s="6">
        <v>45658</v>
      </c>
      <c r="B12" s="2">
        <v>325899.09999999998</v>
      </c>
      <c r="C12" s="2">
        <v>277787.40000000002</v>
      </c>
    </row>
    <row r="13" spans="1:3" x14ac:dyDescent="0.25">
      <c r="A13" s="6">
        <v>45689</v>
      </c>
      <c r="B13" s="2">
        <v>286495.2</v>
      </c>
      <c r="C13" s="2">
        <v>246359</v>
      </c>
    </row>
    <row r="14" spans="1:3" x14ac:dyDescent="0.25">
      <c r="A14" s="6">
        <v>45717</v>
      </c>
      <c r="B14" s="2">
        <v>383770.6</v>
      </c>
      <c r="C14" s="2">
        <v>326115.20000000001</v>
      </c>
    </row>
    <row r="15" spans="1:3" x14ac:dyDescent="0.25">
      <c r="A15" s="6">
        <v>45748</v>
      </c>
      <c r="B15" s="2">
        <v>394996</v>
      </c>
      <c r="C15" s="2">
        <v>333389.3</v>
      </c>
    </row>
    <row r="16" spans="1:3" x14ac:dyDescent="0.25">
      <c r="A16" s="6">
        <v>45778</v>
      </c>
      <c r="B16" s="2">
        <v>424671.1</v>
      </c>
      <c r="C16" s="2">
        <v>361921.5</v>
      </c>
    </row>
    <row r="17" spans="1:3" x14ac:dyDescent="0.25">
      <c r="A17" s="6">
        <v>45809</v>
      </c>
      <c r="B17" s="2">
        <v>470779</v>
      </c>
      <c r="C17" s="2">
        <v>409227.7</v>
      </c>
    </row>
    <row r="18" spans="1:3" x14ac:dyDescent="0.25">
      <c r="A18" s="6">
        <v>45839</v>
      </c>
      <c r="B18" s="2">
        <v>441147.3</v>
      </c>
      <c r="C18" s="2">
        <v>371795.6</v>
      </c>
    </row>
    <row r="19" spans="1:3" x14ac:dyDescent="0.25">
      <c r="A19" s="6">
        <v>45870</v>
      </c>
      <c r="B19" s="2">
        <v>406343.7</v>
      </c>
      <c r="C19" s="2">
        <v>351897.2</v>
      </c>
    </row>
    <row r="20" spans="1:3" x14ac:dyDescent="0.25">
      <c r="A20" s="6">
        <v>45901</v>
      </c>
      <c r="B20" s="2">
        <v>431281.1</v>
      </c>
      <c r="C20" s="2">
        <v>370121.1</v>
      </c>
    </row>
    <row r="21" spans="1:3" x14ac:dyDescent="0.25">
      <c r="A21" s="6">
        <v>45931</v>
      </c>
      <c r="B21" s="2">
        <v>455832.2</v>
      </c>
      <c r="C21" s="2">
        <v>389346.8</v>
      </c>
    </row>
    <row r="22" spans="1:3" x14ac:dyDescent="0.25">
      <c r="A22" s="6">
        <v>45962</v>
      </c>
      <c r="B22" s="2">
        <v>591242.4</v>
      </c>
      <c r="C22" s="2">
        <v>509942.6</v>
      </c>
    </row>
    <row r="23" spans="1:3" x14ac:dyDescent="0.25">
      <c r="A23" s="6">
        <v>45992</v>
      </c>
      <c r="B23" s="2">
        <v>670827.19999999995</v>
      </c>
      <c r="C23" s="2">
        <v>576112.19999999995</v>
      </c>
    </row>
    <row r="24" spans="1:3" x14ac:dyDescent="0.25">
      <c r="A24" s="6">
        <v>46023</v>
      </c>
      <c r="B24" s="2">
        <v>402934.9</v>
      </c>
      <c r="C24" s="2">
        <v>343007.6</v>
      </c>
    </row>
    <row r="25" spans="1:3" x14ac:dyDescent="0.25">
      <c r="A25" s="6">
        <v>46054</v>
      </c>
      <c r="B25" s="2">
        <v>334238.7</v>
      </c>
      <c r="C25" s="2">
        <v>286994</v>
      </c>
    </row>
    <row r="26" spans="1:3" x14ac:dyDescent="0.25">
      <c r="A26" s="6">
        <v>46082</v>
      </c>
      <c r="B26" s="2">
        <v>482357</v>
      </c>
      <c r="C26" s="2">
        <v>411955.4</v>
      </c>
    </row>
    <row r="27" spans="1:3" x14ac:dyDescent="0.25">
      <c r="A27" s="6">
        <v>46113</v>
      </c>
      <c r="B27" s="2">
        <v>523797.8</v>
      </c>
      <c r="C27" s="2">
        <v>448889.8</v>
      </c>
    </row>
    <row r="28" spans="1:3" x14ac:dyDescent="0.25">
      <c r="A28" s="6">
        <v>46143</v>
      </c>
      <c r="B28" s="2">
        <v>496214.9</v>
      </c>
      <c r="C28" s="2">
        <v>425090.30000000005</v>
      </c>
    </row>
    <row r="29" spans="1:3" x14ac:dyDescent="0.25">
      <c r="A29" s="7" t="s">
        <v>22</v>
      </c>
      <c r="B29" s="2">
        <v>10486114.600000001</v>
      </c>
      <c r="C29" s="2">
        <v>8975732.5999999996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0AA15-A4E2-4205-8D5D-BDA97D60A505}">
  <dimension ref="A1:H5"/>
  <sheetViews>
    <sheetView workbookViewId="0">
      <selection activeCell="H5" sqref="A1:H5"/>
    </sheetView>
  </sheetViews>
  <sheetFormatPr baseColWidth="10" defaultRowHeight="15" x14ac:dyDescent="0.25"/>
  <cols>
    <col min="1" max="1" width="12" bestFit="1" customWidth="1"/>
    <col min="2" max="2" width="11.85546875" bestFit="1" customWidth="1"/>
    <col min="3" max="3" width="20" bestFit="1" customWidth="1"/>
    <col min="4" max="4" width="15.28515625" bestFit="1" customWidth="1"/>
    <col min="5" max="5" width="15.7109375" bestFit="1" customWidth="1"/>
    <col min="6" max="6" width="23.85546875" bestFit="1" customWidth="1"/>
    <col min="7" max="7" width="21.5703125" bestFit="1" customWidth="1"/>
    <col min="8" max="8" width="25.42578125" bestFit="1" customWidth="1"/>
  </cols>
  <sheetData>
    <row r="1" spans="1:8" x14ac:dyDescent="0.25">
      <c r="A1" t="s">
        <v>1</v>
      </c>
      <c r="B1" t="s">
        <v>6</v>
      </c>
      <c r="C1" t="s">
        <v>8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</row>
    <row r="2" spans="1:8" x14ac:dyDescent="0.25">
      <c r="A2" s="2" t="s">
        <v>15</v>
      </c>
      <c r="B2">
        <v>1837770</v>
      </c>
      <c r="C2">
        <v>1759350</v>
      </c>
      <c r="D2">
        <v>749896.18</v>
      </c>
      <c r="E2">
        <v>61557.51</v>
      </c>
      <c r="F2">
        <v>2811.14</v>
      </c>
      <c r="G2">
        <v>945085.17</v>
      </c>
      <c r="H2">
        <v>0.53717859999999995</v>
      </c>
    </row>
    <row r="3" spans="1:8" x14ac:dyDescent="0.25">
      <c r="A3" s="2" t="s">
        <v>12</v>
      </c>
      <c r="B3">
        <v>504636.2</v>
      </c>
      <c r="C3">
        <v>432856.8</v>
      </c>
      <c r="D3">
        <v>233296.51</v>
      </c>
      <c r="E3">
        <v>21104.36</v>
      </c>
      <c r="F3">
        <v>3243.97</v>
      </c>
      <c r="G3">
        <v>175211.96</v>
      </c>
      <c r="H3">
        <v>0.40478042600000003</v>
      </c>
    </row>
    <row r="4" spans="1:8" x14ac:dyDescent="0.25">
      <c r="A4" s="2" t="s">
        <v>14</v>
      </c>
      <c r="B4">
        <v>1956798.4</v>
      </c>
      <c r="C4">
        <v>1688577.6</v>
      </c>
      <c r="D4">
        <v>910056.87</v>
      </c>
      <c r="E4">
        <v>82937.5</v>
      </c>
      <c r="F4">
        <v>12717.54</v>
      </c>
      <c r="G4">
        <v>682865.69</v>
      </c>
      <c r="H4">
        <v>0.40440290699999998</v>
      </c>
    </row>
    <row r="5" spans="1:8" x14ac:dyDescent="0.25">
      <c r="A5" s="2" t="s">
        <v>13</v>
      </c>
      <c r="B5">
        <v>5920117.7999999998</v>
      </c>
      <c r="C5">
        <v>4865072.8</v>
      </c>
      <c r="D5">
        <v>2616606.77</v>
      </c>
      <c r="E5">
        <v>249881.24</v>
      </c>
      <c r="F5">
        <v>49662.7</v>
      </c>
      <c r="G5">
        <v>1948922.09</v>
      </c>
      <c r="H5">
        <v>0.40059464099999997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7CFE8-01C5-43AC-8854-77CE5D90B4A4}">
  <dimension ref="A1:H9"/>
  <sheetViews>
    <sheetView workbookViewId="0"/>
  </sheetViews>
  <sheetFormatPr baseColWidth="10" defaultRowHeight="15" x14ac:dyDescent="0.25"/>
  <cols>
    <col min="1" max="1" width="11.5703125" bestFit="1" customWidth="1"/>
    <col min="2" max="2" width="11.85546875" bestFit="1" customWidth="1"/>
    <col min="3" max="3" width="20" bestFit="1" customWidth="1"/>
    <col min="4" max="4" width="15.28515625" bestFit="1" customWidth="1"/>
    <col min="5" max="5" width="15.7109375" bestFit="1" customWidth="1"/>
    <col min="6" max="6" width="23.85546875" bestFit="1" customWidth="1"/>
    <col min="7" max="7" width="21.5703125" bestFit="1" customWidth="1"/>
    <col min="8" max="8" width="25.42578125" bestFit="1" customWidth="1"/>
  </cols>
  <sheetData>
    <row r="1" spans="1:8" x14ac:dyDescent="0.25">
      <c r="A1" t="s">
        <v>41</v>
      </c>
      <c r="B1" t="s">
        <v>6</v>
      </c>
      <c r="C1" t="s">
        <v>8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</row>
    <row r="2" spans="1:8" x14ac:dyDescent="0.25">
      <c r="A2" s="2" t="s">
        <v>42</v>
      </c>
      <c r="B2">
        <v>3021173.2</v>
      </c>
      <c r="C2">
        <v>2584272</v>
      </c>
      <c r="D2">
        <v>1321340.42</v>
      </c>
      <c r="E2">
        <v>59651.89</v>
      </c>
      <c r="F2">
        <v>10139.450000000001</v>
      </c>
      <c r="G2">
        <v>1193140.24</v>
      </c>
      <c r="H2">
        <v>0.46169297999999998</v>
      </c>
    </row>
    <row r="3" spans="1:8" x14ac:dyDescent="0.25">
      <c r="A3" s="2" t="s">
        <v>43</v>
      </c>
      <c r="B3">
        <v>1318851.7</v>
      </c>
      <c r="C3">
        <v>1136271.6000000001</v>
      </c>
      <c r="D3">
        <v>561309.14</v>
      </c>
      <c r="E3">
        <v>46434.31</v>
      </c>
      <c r="F3">
        <v>6923.27</v>
      </c>
      <c r="G3">
        <v>521604.88</v>
      </c>
      <c r="H3">
        <v>0.45904947400000001</v>
      </c>
    </row>
    <row r="4" spans="1:8" x14ac:dyDescent="0.25">
      <c r="A4" s="2" t="s">
        <v>44</v>
      </c>
      <c r="B4">
        <v>1775312</v>
      </c>
      <c r="C4">
        <v>1511209.3</v>
      </c>
      <c r="D4">
        <v>766295.89</v>
      </c>
      <c r="E4">
        <v>74798.990000000005</v>
      </c>
      <c r="F4">
        <v>12446.15</v>
      </c>
      <c r="G4">
        <v>657668.27</v>
      </c>
      <c r="H4">
        <v>0.435193371</v>
      </c>
    </row>
    <row r="5" spans="1:8" x14ac:dyDescent="0.25">
      <c r="A5" s="2" t="s">
        <v>45</v>
      </c>
      <c r="B5">
        <v>1715433.5</v>
      </c>
      <c r="C5">
        <v>1468859.5</v>
      </c>
      <c r="D5">
        <v>794084.06</v>
      </c>
      <c r="E5">
        <v>52504.73</v>
      </c>
      <c r="F5">
        <v>8478.92</v>
      </c>
      <c r="G5">
        <v>613791.79</v>
      </c>
      <c r="H5">
        <v>0.41786963999999999</v>
      </c>
    </row>
    <row r="6" spans="1:8" x14ac:dyDescent="0.25">
      <c r="A6" s="2" t="s">
        <v>46</v>
      </c>
      <c r="B6">
        <v>859908.1</v>
      </c>
      <c r="C6">
        <v>732266.6</v>
      </c>
      <c r="D6">
        <v>377899.51</v>
      </c>
      <c r="E6">
        <v>53064.67</v>
      </c>
      <c r="F6">
        <v>8643.0499999999993</v>
      </c>
      <c r="G6">
        <v>292659.37</v>
      </c>
      <c r="H6">
        <v>0.39966232200000001</v>
      </c>
    </row>
    <row r="7" spans="1:8" x14ac:dyDescent="0.25">
      <c r="A7" s="2" t="s">
        <v>47</v>
      </c>
      <c r="B7">
        <v>697238.4</v>
      </c>
      <c r="C7">
        <v>604053.30000000005</v>
      </c>
      <c r="D7">
        <v>324949.21000000002</v>
      </c>
      <c r="E7">
        <v>45093.54</v>
      </c>
      <c r="F7">
        <v>7099.51</v>
      </c>
      <c r="G7">
        <v>226911.04</v>
      </c>
      <c r="H7">
        <v>0.375647381</v>
      </c>
    </row>
    <row r="8" spans="1:8" x14ac:dyDescent="0.25">
      <c r="A8" s="2" t="s">
        <v>48</v>
      </c>
      <c r="B8">
        <v>473084.9</v>
      </c>
      <c r="C8">
        <v>403351</v>
      </c>
      <c r="D8">
        <v>208198.79</v>
      </c>
      <c r="E8">
        <v>39278.29</v>
      </c>
      <c r="F8">
        <v>6686.19</v>
      </c>
      <c r="G8">
        <v>149187.73000000001</v>
      </c>
      <c r="H8">
        <v>0.36987073300000001</v>
      </c>
    </row>
    <row r="9" spans="1:8" x14ac:dyDescent="0.25">
      <c r="A9" s="2" t="s">
        <v>49</v>
      </c>
      <c r="B9">
        <v>358320.6</v>
      </c>
      <c r="C9">
        <v>305573.90000000002</v>
      </c>
      <c r="D9">
        <v>155779.31</v>
      </c>
      <c r="E9">
        <v>44654.19</v>
      </c>
      <c r="F9">
        <v>8018.81</v>
      </c>
      <c r="G9">
        <v>97121.59</v>
      </c>
      <c r="H9">
        <v>0.31783339500000002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6D132-E0BF-4B49-815E-6806872BBC91}">
  <dimension ref="A1:M201"/>
  <sheetViews>
    <sheetView topLeftCell="C165" workbookViewId="0"/>
  </sheetViews>
  <sheetFormatPr baseColWidth="10" defaultRowHeight="15" x14ac:dyDescent="0.25"/>
  <cols>
    <col min="1" max="1" width="10.140625" bestFit="1" customWidth="1"/>
    <col min="2" max="2" width="41" bestFit="1" customWidth="1"/>
    <col min="3" max="3" width="11.5703125" bestFit="1" customWidth="1"/>
    <col min="4" max="4" width="11.85546875" bestFit="1" customWidth="1"/>
    <col min="5" max="5" width="20" bestFit="1" customWidth="1"/>
    <col min="6" max="6" width="15.28515625" bestFit="1" customWidth="1"/>
    <col min="7" max="7" width="15.7109375" bestFit="1" customWidth="1"/>
    <col min="8" max="8" width="23.85546875" bestFit="1" customWidth="1"/>
    <col min="9" max="9" width="21.5703125" bestFit="1" customWidth="1"/>
    <col min="10" max="10" width="25.42578125" bestFit="1" customWidth="1"/>
    <col min="11" max="11" width="12.5703125" bestFit="1" customWidth="1"/>
    <col min="12" max="12" width="16.5703125" bestFit="1" customWidth="1"/>
    <col min="13" max="13" width="13.28515625" bestFit="1" customWidth="1"/>
  </cols>
  <sheetData>
    <row r="1" spans="1:13" x14ac:dyDescent="0.25">
      <c r="A1" t="s">
        <v>56</v>
      </c>
      <c r="B1" t="s">
        <v>57</v>
      </c>
      <c r="C1" t="s">
        <v>41</v>
      </c>
      <c r="D1" t="s">
        <v>6</v>
      </c>
      <c r="E1" t="s">
        <v>8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2</v>
      </c>
      <c r="L1" t="s">
        <v>3</v>
      </c>
      <c r="M1" t="s">
        <v>9</v>
      </c>
    </row>
    <row r="2" spans="1:13" x14ac:dyDescent="0.25">
      <c r="A2" s="2" t="s">
        <v>58</v>
      </c>
      <c r="B2" s="2" t="s">
        <v>59</v>
      </c>
      <c r="C2" s="2" t="s">
        <v>49</v>
      </c>
      <c r="D2">
        <v>8144.1</v>
      </c>
      <c r="E2">
        <v>6720.6</v>
      </c>
      <c r="F2">
        <v>4419.62</v>
      </c>
      <c r="G2">
        <v>2075.4299999999998</v>
      </c>
      <c r="H2">
        <v>414.83</v>
      </c>
      <c r="I2">
        <v>-189.28</v>
      </c>
      <c r="J2">
        <v>-2.8164152000000001E-2</v>
      </c>
      <c r="K2">
        <v>333</v>
      </c>
      <c r="L2">
        <v>59</v>
      </c>
      <c r="M2">
        <v>0.17717717717717718</v>
      </c>
    </row>
    <row r="3" spans="1:13" x14ac:dyDescent="0.25">
      <c r="A3" s="2" t="s">
        <v>60</v>
      </c>
      <c r="B3" s="2" t="s">
        <v>61</v>
      </c>
      <c r="C3" s="2" t="s">
        <v>49</v>
      </c>
      <c r="D3">
        <v>7865.7</v>
      </c>
      <c r="E3">
        <v>6383.7</v>
      </c>
      <c r="F3">
        <v>4085.1</v>
      </c>
      <c r="G3">
        <v>1931.28</v>
      </c>
      <c r="H3">
        <v>442.76</v>
      </c>
      <c r="I3">
        <v>-75.44</v>
      </c>
      <c r="J3">
        <v>-1.1817598E-2</v>
      </c>
      <c r="K3">
        <v>317</v>
      </c>
      <c r="L3">
        <v>62</v>
      </c>
      <c r="M3">
        <v>0.19558359621451105</v>
      </c>
    </row>
    <row r="4" spans="1:13" x14ac:dyDescent="0.25">
      <c r="A4" s="2" t="s">
        <v>62</v>
      </c>
      <c r="B4" s="2" t="s">
        <v>63</v>
      </c>
      <c r="C4" s="2" t="s">
        <v>49</v>
      </c>
      <c r="D4">
        <v>7602</v>
      </c>
      <c r="E4">
        <v>6535.5</v>
      </c>
      <c r="F4">
        <v>4179.07</v>
      </c>
      <c r="G4">
        <v>2047.49</v>
      </c>
      <c r="H4">
        <v>375.96</v>
      </c>
      <c r="I4">
        <v>-67.02</v>
      </c>
      <c r="J4">
        <v>-1.0254762000000001E-2</v>
      </c>
      <c r="K4">
        <v>308</v>
      </c>
      <c r="L4">
        <v>45</v>
      </c>
      <c r="M4">
        <v>0.1461038961038961</v>
      </c>
    </row>
    <row r="5" spans="1:13" x14ac:dyDescent="0.25">
      <c r="A5" s="2" t="s">
        <v>64</v>
      </c>
      <c r="B5" s="2" t="s">
        <v>65</v>
      </c>
      <c r="C5" s="2" t="s">
        <v>49</v>
      </c>
      <c r="D5">
        <v>8353.7999999999993</v>
      </c>
      <c r="E5">
        <v>7227.3</v>
      </c>
      <c r="F5">
        <v>4424.59</v>
      </c>
      <c r="G5">
        <v>2398.08</v>
      </c>
      <c r="H5">
        <v>396.56</v>
      </c>
      <c r="I5">
        <v>8.07</v>
      </c>
      <c r="J5">
        <v>1.1165999999999999E-3</v>
      </c>
      <c r="K5">
        <v>336</v>
      </c>
      <c r="L5">
        <v>47</v>
      </c>
      <c r="M5">
        <v>0.13988095238095238</v>
      </c>
    </row>
    <row r="6" spans="1:13" x14ac:dyDescent="0.25">
      <c r="A6" s="2" t="s">
        <v>66</v>
      </c>
      <c r="B6" s="2" t="s">
        <v>67</v>
      </c>
      <c r="C6" s="2" t="s">
        <v>49</v>
      </c>
      <c r="D6">
        <v>8103</v>
      </c>
      <c r="E6">
        <v>6804.3</v>
      </c>
      <c r="F6">
        <v>3667.48</v>
      </c>
      <c r="G6">
        <v>2105.94</v>
      </c>
      <c r="H6">
        <v>402.19</v>
      </c>
      <c r="I6">
        <v>628.69000000000005</v>
      </c>
      <c r="J6">
        <v>9.2395985E-2</v>
      </c>
      <c r="K6">
        <v>331</v>
      </c>
      <c r="L6">
        <v>54</v>
      </c>
      <c r="M6">
        <v>0.16314199395770393</v>
      </c>
    </row>
    <row r="7" spans="1:13" x14ac:dyDescent="0.25">
      <c r="A7" s="2" t="s">
        <v>68</v>
      </c>
      <c r="B7" s="2" t="s">
        <v>69</v>
      </c>
      <c r="C7" s="2" t="s">
        <v>49</v>
      </c>
      <c r="D7">
        <v>12746.5</v>
      </c>
      <c r="E7">
        <v>10740</v>
      </c>
      <c r="F7">
        <v>7010.46</v>
      </c>
      <c r="G7">
        <v>2194.7600000000002</v>
      </c>
      <c r="H7">
        <v>405.94</v>
      </c>
      <c r="I7">
        <v>1128.8399999999999</v>
      </c>
      <c r="J7">
        <v>0.105106145</v>
      </c>
      <c r="K7">
        <v>311</v>
      </c>
      <c r="L7">
        <v>50</v>
      </c>
      <c r="M7">
        <v>0.16077170418006431</v>
      </c>
    </row>
    <row r="8" spans="1:13" x14ac:dyDescent="0.25">
      <c r="A8" s="2" t="s">
        <v>70</v>
      </c>
      <c r="B8" s="2" t="s">
        <v>71</v>
      </c>
      <c r="C8" s="2" t="s">
        <v>49</v>
      </c>
      <c r="D8">
        <v>12125</v>
      </c>
      <c r="E8">
        <v>10692.5</v>
      </c>
      <c r="F8">
        <v>6822.06</v>
      </c>
      <c r="G8">
        <v>1924.41</v>
      </c>
      <c r="H8">
        <v>228</v>
      </c>
      <c r="I8">
        <v>1718.03</v>
      </c>
      <c r="J8">
        <v>0.160676175</v>
      </c>
      <c r="K8">
        <v>295</v>
      </c>
      <c r="L8">
        <v>36</v>
      </c>
      <c r="M8">
        <v>0.12203389830508475</v>
      </c>
    </row>
    <row r="9" spans="1:13" x14ac:dyDescent="0.25">
      <c r="A9" s="2" t="s">
        <v>72</v>
      </c>
      <c r="B9" s="2" t="s">
        <v>73</v>
      </c>
      <c r="C9" s="2" t="s">
        <v>49</v>
      </c>
      <c r="D9">
        <v>13091.5</v>
      </c>
      <c r="E9">
        <v>10829.5</v>
      </c>
      <c r="F9">
        <v>6398.79</v>
      </c>
      <c r="G9">
        <v>1945</v>
      </c>
      <c r="H9">
        <v>430.48</v>
      </c>
      <c r="I9">
        <v>2055.23</v>
      </c>
      <c r="J9">
        <v>0.189780692</v>
      </c>
      <c r="K9">
        <v>320</v>
      </c>
      <c r="L9">
        <v>57</v>
      </c>
      <c r="M9">
        <v>0.17812500000000001</v>
      </c>
    </row>
    <row r="10" spans="1:13" x14ac:dyDescent="0.25">
      <c r="A10" s="2" t="s">
        <v>74</v>
      </c>
      <c r="B10" s="2" t="s">
        <v>75</v>
      </c>
      <c r="C10" s="2" t="s">
        <v>49</v>
      </c>
      <c r="D10">
        <v>8358.9</v>
      </c>
      <c r="E10">
        <v>6840.6</v>
      </c>
      <c r="F10">
        <v>2782.78</v>
      </c>
      <c r="G10">
        <v>2255.54</v>
      </c>
      <c r="H10">
        <v>466.38</v>
      </c>
      <c r="I10">
        <v>1335.9</v>
      </c>
      <c r="J10">
        <v>0.195289887</v>
      </c>
      <c r="K10">
        <v>341</v>
      </c>
      <c r="L10">
        <v>63</v>
      </c>
      <c r="M10">
        <v>0.18475073313782991</v>
      </c>
    </row>
    <row r="11" spans="1:13" x14ac:dyDescent="0.25">
      <c r="A11" s="2" t="s">
        <v>76</v>
      </c>
      <c r="B11" s="2" t="s">
        <v>77</v>
      </c>
      <c r="C11" s="2" t="s">
        <v>49</v>
      </c>
      <c r="D11">
        <v>8104.5</v>
      </c>
      <c r="E11">
        <v>6587.7</v>
      </c>
      <c r="F11">
        <v>2633.4</v>
      </c>
      <c r="G11">
        <v>2194.29</v>
      </c>
      <c r="H11">
        <v>444.71</v>
      </c>
      <c r="I11">
        <v>1315.3</v>
      </c>
      <c r="J11">
        <v>0.19965997199999999</v>
      </c>
      <c r="K11">
        <v>330</v>
      </c>
      <c r="L11">
        <v>64</v>
      </c>
      <c r="M11">
        <v>0.19393939393939394</v>
      </c>
    </row>
    <row r="12" spans="1:13" x14ac:dyDescent="0.25">
      <c r="A12" s="2" t="s">
        <v>78</v>
      </c>
      <c r="B12" s="2" t="s">
        <v>79</v>
      </c>
      <c r="C12" s="2" t="s">
        <v>48</v>
      </c>
      <c r="D12">
        <v>20870.400000000001</v>
      </c>
      <c r="E12">
        <v>16665.599999999999</v>
      </c>
      <c r="F12">
        <v>10788.12</v>
      </c>
      <c r="G12">
        <v>2076.0500000000002</v>
      </c>
      <c r="H12">
        <v>471.49</v>
      </c>
      <c r="I12">
        <v>3329.94</v>
      </c>
      <c r="J12">
        <v>0.199809188</v>
      </c>
      <c r="K12">
        <v>318</v>
      </c>
      <c r="L12">
        <v>66</v>
      </c>
      <c r="M12">
        <v>0.20754716981132076</v>
      </c>
    </row>
    <row r="13" spans="1:13" x14ac:dyDescent="0.25">
      <c r="A13" s="2" t="s">
        <v>80</v>
      </c>
      <c r="B13" s="2" t="s">
        <v>81</v>
      </c>
      <c r="C13" s="2" t="s">
        <v>45</v>
      </c>
      <c r="D13">
        <v>25946</v>
      </c>
      <c r="E13">
        <v>22628</v>
      </c>
      <c r="F13">
        <v>15119.5</v>
      </c>
      <c r="G13">
        <v>2225.1</v>
      </c>
      <c r="H13">
        <v>350.77</v>
      </c>
      <c r="I13">
        <v>4932.63</v>
      </c>
      <c r="J13">
        <v>0.21798789099999999</v>
      </c>
      <c r="K13">
        <v>317</v>
      </c>
      <c r="L13">
        <v>42</v>
      </c>
      <c r="M13">
        <v>0.13249211356466878</v>
      </c>
    </row>
    <row r="14" spans="1:13" x14ac:dyDescent="0.25">
      <c r="A14" s="2" t="s">
        <v>82</v>
      </c>
      <c r="B14" s="2" t="s">
        <v>83</v>
      </c>
      <c r="C14" s="2" t="s">
        <v>47</v>
      </c>
      <c r="D14">
        <v>19214.400000000001</v>
      </c>
      <c r="E14">
        <v>17744</v>
      </c>
      <c r="F14">
        <v>11741.08</v>
      </c>
      <c r="G14">
        <v>1904.28</v>
      </c>
      <c r="H14">
        <v>185.37</v>
      </c>
      <c r="I14">
        <v>3913.27</v>
      </c>
      <c r="J14">
        <v>0.22054046399999999</v>
      </c>
      <c r="K14">
        <v>291</v>
      </c>
      <c r="L14">
        <v>23</v>
      </c>
      <c r="M14">
        <v>7.903780068728522E-2</v>
      </c>
    </row>
    <row r="15" spans="1:13" x14ac:dyDescent="0.25">
      <c r="A15" s="2" t="s">
        <v>84</v>
      </c>
      <c r="B15" s="2" t="s">
        <v>85</v>
      </c>
      <c r="C15" s="2" t="s">
        <v>46</v>
      </c>
      <c r="D15">
        <v>16066.8</v>
      </c>
      <c r="E15">
        <v>13968.6</v>
      </c>
      <c r="F15">
        <v>8107.95</v>
      </c>
      <c r="G15">
        <v>2158.7800000000002</v>
      </c>
      <c r="H15">
        <v>261.37</v>
      </c>
      <c r="I15">
        <v>3440.5</v>
      </c>
      <c r="J15">
        <v>0.24630242099999999</v>
      </c>
      <c r="K15">
        <v>327</v>
      </c>
      <c r="L15">
        <v>44</v>
      </c>
      <c r="M15">
        <v>0.13455657492354739</v>
      </c>
    </row>
    <row r="16" spans="1:13" x14ac:dyDescent="0.25">
      <c r="A16" s="2" t="s">
        <v>86</v>
      </c>
      <c r="B16" s="2" t="s">
        <v>87</v>
      </c>
      <c r="C16" s="2" t="s">
        <v>45</v>
      </c>
      <c r="D16">
        <v>24287</v>
      </c>
      <c r="E16">
        <v>19563</v>
      </c>
      <c r="F16">
        <v>12250.53</v>
      </c>
      <c r="G16">
        <v>2014.77</v>
      </c>
      <c r="H16">
        <v>422.97</v>
      </c>
      <c r="I16">
        <v>4874.7299999999996</v>
      </c>
      <c r="J16">
        <v>0.24918110700000001</v>
      </c>
      <c r="K16">
        <v>296</v>
      </c>
      <c r="L16">
        <v>59</v>
      </c>
      <c r="M16">
        <v>0.19932432432432431</v>
      </c>
    </row>
    <row r="17" spans="1:13" x14ac:dyDescent="0.25">
      <c r="A17" s="2" t="s">
        <v>88</v>
      </c>
      <c r="B17" s="2" t="s">
        <v>89</v>
      </c>
      <c r="C17" s="2" t="s">
        <v>44</v>
      </c>
      <c r="D17">
        <v>23868</v>
      </c>
      <c r="E17">
        <v>21076.2</v>
      </c>
      <c r="F17">
        <v>13363.65</v>
      </c>
      <c r="G17">
        <v>2090.2600000000002</v>
      </c>
      <c r="H17">
        <v>354.78</v>
      </c>
      <c r="I17">
        <v>5267.51</v>
      </c>
      <c r="J17">
        <v>0.24992693199999999</v>
      </c>
      <c r="K17">
        <v>324</v>
      </c>
      <c r="L17">
        <v>39</v>
      </c>
      <c r="M17">
        <v>0.12037037037037036</v>
      </c>
    </row>
    <row r="18" spans="1:13" x14ac:dyDescent="0.25">
      <c r="A18" s="2" t="s">
        <v>90</v>
      </c>
      <c r="B18" s="2" t="s">
        <v>91</v>
      </c>
      <c r="C18" s="2" t="s">
        <v>48</v>
      </c>
      <c r="D18">
        <v>20777.599999999999</v>
      </c>
      <c r="E18">
        <v>17963.2</v>
      </c>
      <c r="F18">
        <v>11084</v>
      </c>
      <c r="G18">
        <v>2046.12</v>
      </c>
      <c r="H18">
        <v>323.70999999999998</v>
      </c>
      <c r="I18">
        <v>4509.37</v>
      </c>
      <c r="J18">
        <v>0.25103377999999998</v>
      </c>
      <c r="K18">
        <v>316</v>
      </c>
      <c r="L18">
        <v>44</v>
      </c>
      <c r="M18">
        <v>0.13924050632911392</v>
      </c>
    </row>
    <row r="19" spans="1:13" x14ac:dyDescent="0.25">
      <c r="A19" s="2" t="s">
        <v>92</v>
      </c>
      <c r="B19" s="2" t="s">
        <v>93</v>
      </c>
      <c r="C19" s="2" t="s">
        <v>48</v>
      </c>
      <c r="D19">
        <v>13612.5</v>
      </c>
      <c r="E19">
        <v>11448</v>
      </c>
      <c r="F19">
        <v>5608.32</v>
      </c>
      <c r="G19">
        <v>2275.92</v>
      </c>
      <c r="H19">
        <v>411.4</v>
      </c>
      <c r="I19">
        <v>3152.36</v>
      </c>
      <c r="J19">
        <v>0.27536338199999999</v>
      </c>
      <c r="K19">
        <v>330</v>
      </c>
      <c r="L19">
        <v>54</v>
      </c>
      <c r="M19">
        <v>0.16363636363636364</v>
      </c>
    </row>
    <row r="20" spans="1:13" x14ac:dyDescent="0.25">
      <c r="A20" s="2" t="s">
        <v>94</v>
      </c>
      <c r="B20" s="2" t="s">
        <v>95</v>
      </c>
      <c r="C20" s="2" t="s">
        <v>42</v>
      </c>
      <c r="D20">
        <v>55516</v>
      </c>
      <c r="E20">
        <v>46858</v>
      </c>
      <c r="F20">
        <v>31377.71</v>
      </c>
      <c r="G20">
        <v>2215.75</v>
      </c>
      <c r="H20">
        <v>341.67</v>
      </c>
      <c r="I20">
        <v>12922.87</v>
      </c>
      <c r="J20">
        <v>0.27578791200000002</v>
      </c>
      <c r="K20">
        <v>341</v>
      </c>
      <c r="L20">
        <v>54</v>
      </c>
      <c r="M20">
        <v>0.15835777126099707</v>
      </c>
    </row>
    <row r="21" spans="1:13" x14ac:dyDescent="0.25">
      <c r="A21" s="2" t="s">
        <v>96</v>
      </c>
      <c r="B21" s="2" t="s">
        <v>97</v>
      </c>
      <c r="C21" s="2" t="s">
        <v>48</v>
      </c>
      <c r="D21">
        <v>12867.5</v>
      </c>
      <c r="E21">
        <v>11630</v>
      </c>
      <c r="F21">
        <v>6271.28</v>
      </c>
      <c r="G21">
        <v>1942.94</v>
      </c>
      <c r="H21">
        <v>180.81</v>
      </c>
      <c r="I21">
        <v>3234.97</v>
      </c>
      <c r="J21">
        <v>0.27815735200000002</v>
      </c>
      <c r="K21">
        <v>313</v>
      </c>
      <c r="L21">
        <v>30</v>
      </c>
      <c r="M21">
        <v>9.5846645367412137E-2</v>
      </c>
    </row>
    <row r="22" spans="1:13" x14ac:dyDescent="0.25">
      <c r="A22" s="2" t="s">
        <v>98</v>
      </c>
      <c r="B22" s="2" t="s">
        <v>99</v>
      </c>
      <c r="C22" s="2" t="s">
        <v>47</v>
      </c>
      <c r="D22">
        <v>22744.799999999999</v>
      </c>
      <c r="E22">
        <v>20246.400000000001</v>
      </c>
      <c r="F22">
        <v>12267.54</v>
      </c>
      <c r="G22">
        <v>2031.82</v>
      </c>
      <c r="H22">
        <v>289.52999999999997</v>
      </c>
      <c r="I22">
        <v>5657.51</v>
      </c>
      <c r="J22">
        <v>0.27943288700000002</v>
      </c>
      <c r="K22">
        <v>345</v>
      </c>
      <c r="L22">
        <v>39</v>
      </c>
      <c r="M22">
        <v>0.11304347826086956</v>
      </c>
    </row>
    <row r="23" spans="1:13" x14ac:dyDescent="0.25">
      <c r="A23" s="2" t="s">
        <v>100</v>
      </c>
      <c r="B23" s="2" t="s">
        <v>101</v>
      </c>
      <c r="C23" s="2" t="s">
        <v>46</v>
      </c>
      <c r="D23">
        <v>34653</v>
      </c>
      <c r="E23">
        <v>29787</v>
      </c>
      <c r="F23">
        <v>19202.88</v>
      </c>
      <c r="G23">
        <v>1923.88</v>
      </c>
      <c r="H23">
        <v>305.37</v>
      </c>
      <c r="I23">
        <v>8354.8700000000008</v>
      </c>
      <c r="J23">
        <v>0.280487125</v>
      </c>
      <c r="K23">
        <v>281</v>
      </c>
      <c r="L23">
        <v>40</v>
      </c>
      <c r="M23">
        <v>0.14234875444839859</v>
      </c>
    </row>
    <row r="24" spans="1:13" x14ac:dyDescent="0.25">
      <c r="A24" s="2" t="s">
        <v>102</v>
      </c>
      <c r="B24" s="2" t="s">
        <v>103</v>
      </c>
      <c r="C24" s="2" t="s">
        <v>49</v>
      </c>
      <c r="D24">
        <v>24097</v>
      </c>
      <c r="E24">
        <v>20105</v>
      </c>
      <c r="F24">
        <v>12095.16</v>
      </c>
      <c r="G24">
        <v>1952.54</v>
      </c>
      <c r="H24">
        <v>361.06</v>
      </c>
      <c r="I24">
        <v>5696.24</v>
      </c>
      <c r="J24">
        <v>0.28332454600000001</v>
      </c>
      <c r="K24">
        <v>292</v>
      </c>
      <c r="L24">
        <v>50</v>
      </c>
      <c r="M24">
        <v>0.17123287671232876</v>
      </c>
    </row>
    <row r="25" spans="1:13" x14ac:dyDescent="0.25">
      <c r="A25" s="2" t="s">
        <v>104</v>
      </c>
      <c r="B25" s="2" t="s">
        <v>105</v>
      </c>
      <c r="C25" s="2" t="s">
        <v>44</v>
      </c>
      <c r="D25">
        <v>41205.599999999999</v>
      </c>
      <c r="E25">
        <v>35442</v>
      </c>
      <c r="F25">
        <v>23164.92</v>
      </c>
      <c r="G25">
        <v>1862.26</v>
      </c>
      <c r="H25">
        <v>326.02</v>
      </c>
      <c r="I25">
        <v>10088.799999999999</v>
      </c>
      <c r="J25">
        <v>0.28465662200000003</v>
      </c>
      <c r="K25">
        <v>281</v>
      </c>
      <c r="L25">
        <v>40</v>
      </c>
      <c r="M25">
        <v>0.14234875444839859</v>
      </c>
    </row>
    <row r="26" spans="1:13" x14ac:dyDescent="0.25">
      <c r="A26" s="2" t="s">
        <v>106</v>
      </c>
      <c r="B26" s="2" t="s">
        <v>107</v>
      </c>
      <c r="C26" s="2" t="s">
        <v>46</v>
      </c>
      <c r="D26">
        <v>28556.400000000001</v>
      </c>
      <c r="E26">
        <v>24429.599999999999</v>
      </c>
      <c r="F26">
        <v>15133.92</v>
      </c>
      <c r="G26">
        <v>1931.72</v>
      </c>
      <c r="H26">
        <v>340.14</v>
      </c>
      <c r="I26">
        <v>7023.82</v>
      </c>
      <c r="J26">
        <v>0.28751269000000002</v>
      </c>
      <c r="K26">
        <v>289</v>
      </c>
      <c r="L26">
        <v>43</v>
      </c>
      <c r="M26">
        <v>0.14878892733564014</v>
      </c>
    </row>
    <row r="27" spans="1:13" x14ac:dyDescent="0.25">
      <c r="A27" s="2" t="s">
        <v>108</v>
      </c>
      <c r="B27" s="2" t="s">
        <v>109</v>
      </c>
      <c r="C27" s="2" t="s">
        <v>44</v>
      </c>
      <c r="D27">
        <v>40766.400000000001</v>
      </c>
      <c r="E27">
        <v>35069.4</v>
      </c>
      <c r="F27">
        <v>22921.599999999999</v>
      </c>
      <c r="G27">
        <v>1768.91</v>
      </c>
      <c r="H27">
        <v>269.89</v>
      </c>
      <c r="I27">
        <v>10109</v>
      </c>
      <c r="J27">
        <v>0.28825699900000001</v>
      </c>
      <c r="K27">
        <v>271</v>
      </c>
      <c r="L27">
        <v>39</v>
      </c>
      <c r="M27">
        <v>0.14391143911439114</v>
      </c>
    </row>
    <row r="28" spans="1:13" x14ac:dyDescent="0.25">
      <c r="A28" s="2" t="s">
        <v>110</v>
      </c>
      <c r="B28" s="2" t="s">
        <v>111</v>
      </c>
      <c r="C28" s="2" t="s">
        <v>46</v>
      </c>
      <c r="D28">
        <v>14866.2</v>
      </c>
      <c r="E28">
        <v>12768</v>
      </c>
      <c r="F28">
        <v>6617.45</v>
      </c>
      <c r="G28">
        <v>2083.27</v>
      </c>
      <c r="H28">
        <v>324.32</v>
      </c>
      <c r="I28">
        <v>3742.96</v>
      </c>
      <c r="J28">
        <v>0.29315162900000002</v>
      </c>
      <c r="K28">
        <v>303</v>
      </c>
      <c r="L28">
        <v>44</v>
      </c>
      <c r="M28">
        <v>0.14521452145214522</v>
      </c>
    </row>
    <row r="29" spans="1:13" x14ac:dyDescent="0.25">
      <c r="A29" s="2" t="s">
        <v>112</v>
      </c>
      <c r="B29" s="2" t="s">
        <v>113</v>
      </c>
      <c r="C29" s="2" t="s">
        <v>48</v>
      </c>
      <c r="D29">
        <v>30913.200000000001</v>
      </c>
      <c r="E29">
        <v>26836.799999999999</v>
      </c>
      <c r="F29">
        <v>16433.21</v>
      </c>
      <c r="G29">
        <v>2115.12</v>
      </c>
      <c r="H29">
        <v>409.02</v>
      </c>
      <c r="I29">
        <v>7879.45</v>
      </c>
      <c r="J29">
        <v>0.293606168</v>
      </c>
      <c r="K29">
        <v>312</v>
      </c>
      <c r="L29">
        <v>43</v>
      </c>
      <c r="M29">
        <v>0.13782051282051283</v>
      </c>
    </row>
    <row r="30" spans="1:13" x14ac:dyDescent="0.25">
      <c r="A30" s="2" t="s">
        <v>114</v>
      </c>
      <c r="B30" s="2" t="s">
        <v>115</v>
      </c>
      <c r="C30" s="2" t="s">
        <v>46</v>
      </c>
      <c r="D30">
        <v>15706.8</v>
      </c>
      <c r="E30">
        <v>13596</v>
      </c>
      <c r="F30">
        <v>7099.51</v>
      </c>
      <c r="G30">
        <v>2166.1</v>
      </c>
      <c r="H30">
        <v>332.84</v>
      </c>
      <c r="I30">
        <v>3997.55</v>
      </c>
      <c r="J30">
        <v>0.29402397800000002</v>
      </c>
      <c r="K30">
        <v>321</v>
      </c>
      <c r="L30">
        <v>44</v>
      </c>
      <c r="M30">
        <v>0.13707165109034267</v>
      </c>
    </row>
    <row r="31" spans="1:13" x14ac:dyDescent="0.25">
      <c r="A31" s="2" t="s">
        <v>116</v>
      </c>
      <c r="B31" s="2" t="s">
        <v>117</v>
      </c>
      <c r="C31" s="2" t="s">
        <v>46</v>
      </c>
      <c r="D31">
        <v>38854.5</v>
      </c>
      <c r="E31">
        <v>34201.5</v>
      </c>
      <c r="F31">
        <v>21547.360000000001</v>
      </c>
      <c r="G31">
        <v>2068.5300000000002</v>
      </c>
      <c r="H31">
        <v>311.37</v>
      </c>
      <c r="I31">
        <v>10274.24</v>
      </c>
      <c r="J31">
        <v>0.30040319900000001</v>
      </c>
      <c r="K31">
        <v>313</v>
      </c>
      <c r="L31">
        <v>39</v>
      </c>
      <c r="M31">
        <v>0.12460063897763578</v>
      </c>
    </row>
    <row r="32" spans="1:13" x14ac:dyDescent="0.25">
      <c r="A32" s="2" t="s">
        <v>118</v>
      </c>
      <c r="B32" s="2" t="s">
        <v>119</v>
      </c>
      <c r="C32" s="2" t="s">
        <v>45</v>
      </c>
      <c r="D32">
        <v>65167.5</v>
      </c>
      <c r="E32">
        <v>54292.5</v>
      </c>
      <c r="F32">
        <v>35568.720000000001</v>
      </c>
      <c r="G32">
        <v>2061.73</v>
      </c>
      <c r="H32">
        <v>340.06</v>
      </c>
      <c r="I32">
        <v>16321.99</v>
      </c>
      <c r="J32">
        <v>0.300630658</v>
      </c>
      <c r="K32">
        <v>318</v>
      </c>
      <c r="L32">
        <v>54</v>
      </c>
      <c r="M32">
        <v>0.16981132075471697</v>
      </c>
    </row>
    <row r="33" spans="1:13" x14ac:dyDescent="0.25">
      <c r="A33" s="2" t="s">
        <v>120</v>
      </c>
      <c r="B33" s="2" t="s">
        <v>121</v>
      </c>
      <c r="C33" s="2" t="s">
        <v>44</v>
      </c>
      <c r="D33">
        <v>28873.200000000001</v>
      </c>
      <c r="E33">
        <v>23988</v>
      </c>
      <c r="F33">
        <v>14615.6</v>
      </c>
      <c r="G33">
        <v>1791.53</v>
      </c>
      <c r="H33">
        <v>330.33</v>
      </c>
      <c r="I33">
        <v>7250.54</v>
      </c>
      <c r="J33">
        <v>0.30225696200000002</v>
      </c>
      <c r="K33">
        <v>295</v>
      </c>
      <c r="L33">
        <v>51</v>
      </c>
      <c r="M33">
        <v>0.17288135593220338</v>
      </c>
    </row>
    <row r="34" spans="1:13" x14ac:dyDescent="0.25">
      <c r="A34" s="2" t="s">
        <v>122</v>
      </c>
      <c r="B34" s="2" t="s">
        <v>123</v>
      </c>
      <c r="C34" s="2" t="s">
        <v>47</v>
      </c>
      <c r="D34">
        <v>24329</v>
      </c>
      <c r="E34">
        <v>21406</v>
      </c>
      <c r="F34">
        <v>12851.58</v>
      </c>
      <c r="G34">
        <v>1792.97</v>
      </c>
      <c r="H34">
        <v>217.66</v>
      </c>
      <c r="I34">
        <v>6543.79</v>
      </c>
      <c r="J34">
        <v>0.30569886899999998</v>
      </c>
      <c r="K34">
        <v>296</v>
      </c>
      <c r="L34">
        <v>37</v>
      </c>
      <c r="M34">
        <v>0.125</v>
      </c>
    </row>
    <row r="35" spans="1:13" x14ac:dyDescent="0.25">
      <c r="A35" s="2" t="s">
        <v>124</v>
      </c>
      <c r="B35" s="2" t="s">
        <v>125</v>
      </c>
      <c r="C35" s="2" t="s">
        <v>48</v>
      </c>
      <c r="D35">
        <v>41952</v>
      </c>
      <c r="E35">
        <v>35664</v>
      </c>
      <c r="F35">
        <v>22209.65</v>
      </c>
      <c r="G35">
        <v>2134.7399999999998</v>
      </c>
      <c r="H35">
        <v>351.24</v>
      </c>
      <c r="I35">
        <v>10968.37</v>
      </c>
      <c r="J35">
        <v>0.30754738700000001</v>
      </c>
      <c r="K35">
        <v>341</v>
      </c>
      <c r="L35">
        <v>52</v>
      </c>
      <c r="M35">
        <v>0.15249266862170088</v>
      </c>
    </row>
    <row r="36" spans="1:13" x14ac:dyDescent="0.25">
      <c r="A36" s="2" t="s">
        <v>126</v>
      </c>
      <c r="B36" s="2" t="s">
        <v>127</v>
      </c>
      <c r="C36" s="2" t="s">
        <v>46</v>
      </c>
      <c r="D36">
        <v>42322.5</v>
      </c>
      <c r="E36">
        <v>36010.5</v>
      </c>
      <c r="F36">
        <v>22333.919999999998</v>
      </c>
      <c r="G36">
        <v>2169.7800000000002</v>
      </c>
      <c r="H36">
        <v>388.99</v>
      </c>
      <c r="I36">
        <v>11117.81</v>
      </c>
      <c r="J36">
        <v>0.30873800699999998</v>
      </c>
      <c r="K36">
        <v>342</v>
      </c>
      <c r="L36">
        <v>53</v>
      </c>
      <c r="M36">
        <v>0.15497076023391812</v>
      </c>
    </row>
    <row r="37" spans="1:13" x14ac:dyDescent="0.25">
      <c r="A37" s="2" t="s">
        <v>128</v>
      </c>
      <c r="B37" s="2" t="s">
        <v>129</v>
      </c>
      <c r="C37" s="2" t="s">
        <v>46</v>
      </c>
      <c r="D37">
        <v>30135.599999999999</v>
      </c>
      <c r="E37">
        <v>25819.200000000001</v>
      </c>
      <c r="F37">
        <v>15510.96</v>
      </c>
      <c r="G37">
        <v>2013.9</v>
      </c>
      <c r="H37">
        <v>322.67</v>
      </c>
      <c r="I37">
        <v>7971.67</v>
      </c>
      <c r="J37">
        <v>0.30874969000000002</v>
      </c>
      <c r="K37">
        <v>303</v>
      </c>
      <c r="L37">
        <v>45</v>
      </c>
      <c r="M37">
        <v>0.14851485148514851</v>
      </c>
    </row>
    <row r="38" spans="1:13" x14ac:dyDescent="0.25">
      <c r="A38" s="2" t="s">
        <v>130</v>
      </c>
      <c r="B38" s="2" t="s">
        <v>131</v>
      </c>
      <c r="C38" s="2" t="s">
        <v>47</v>
      </c>
      <c r="D38">
        <v>42268.5</v>
      </c>
      <c r="E38">
        <v>36075</v>
      </c>
      <c r="F38">
        <v>22379.34</v>
      </c>
      <c r="G38">
        <v>2184.27</v>
      </c>
      <c r="H38">
        <v>356.79</v>
      </c>
      <c r="I38">
        <v>11154.6</v>
      </c>
      <c r="J38">
        <v>0.30920582099999999</v>
      </c>
      <c r="K38">
        <v>345</v>
      </c>
      <c r="L38">
        <v>52</v>
      </c>
      <c r="M38">
        <v>0.15072463768115943</v>
      </c>
    </row>
    <row r="39" spans="1:13" x14ac:dyDescent="0.25">
      <c r="A39" s="2" t="s">
        <v>132</v>
      </c>
      <c r="B39" s="2" t="s">
        <v>133</v>
      </c>
      <c r="C39" s="2" t="s">
        <v>47</v>
      </c>
      <c r="D39">
        <v>45081</v>
      </c>
      <c r="E39">
        <v>40312.800000000003</v>
      </c>
      <c r="F39">
        <v>25642.02</v>
      </c>
      <c r="G39">
        <v>1896.38</v>
      </c>
      <c r="H39">
        <v>265.91000000000003</v>
      </c>
      <c r="I39">
        <v>12508.49</v>
      </c>
      <c r="J39">
        <v>0.31028581500000002</v>
      </c>
      <c r="K39">
        <v>304</v>
      </c>
      <c r="L39">
        <v>33</v>
      </c>
      <c r="M39">
        <v>0.10855263157894737</v>
      </c>
    </row>
    <row r="40" spans="1:13" x14ac:dyDescent="0.25">
      <c r="A40" s="2" t="s">
        <v>134</v>
      </c>
      <c r="B40" s="2" t="s">
        <v>135</v>
      </c>
      <c r="C40" s="2" t="s">
        <v>45</v>
      </c>
      <c r="D40">
        <v>106628</v>
      </c>
      <c r="E40">
        <v>93188</v>
      </c>
      <c r="F40">
        <v>61679.12</v>
      </c>
      <c r="G40">
        <v>2302.38</v>
      </c>
      <c r="H40">
        <v>236.29</v>
      </c>
      <c r="I40">
        <v>28970.21</v>
      </c>
      <c r="J40">
        <v>0.31087919000000003</v>
      </c>
      <c r="K40">
        <v>326</v>
      </c>
      <c r="L40">
        <v>42</v>
      </c>
      <c r="M40">
        <v>0.12883435582822086</v>
      </c>
    </row>
    <row r="41" spans="1:13" x14ac:dyDescent="0.25">
      <c r="A41" s="2" t="s">
        <v>136</v>
      </c>
      <c r="B41" s="2" t="s">
        <v>137</v>
      </c>
      <c r="C41" s="2" t="s">
        <v>44</v>
      </c>
      <c r="D41">
        <v>53231.199999999997</v>
      </c>
      <c r="E41">
        <v>45746.8</v>
      </c>
      <c r="F41">
        <v>29328.78</v>
      </c>
      <c r="G41">
        <v>1781.58</v>
      </c>
      <c r="H41">
        <v>311.47000000000003</v>
      </c>
      <c r="I41">
        <v>14324.97</v>
      </c>
      <c r="J41">
        <v>0.313136001</v>
      </c>
      <c r="K41">
        <v>289</v>
      </c>
      <c r="L41">
        <v>42</v>
      </c>
      <c r="M41">
        <v>0.1453287197231834</v>
      </c>
    </row>
    <row r="42" spans="1:13" x14ac:dyDescent="0.25">
      <c r="A42" s="2" t="s">
        <v>138</v>
      </c>
      <c r="B42" s="2" t="s">
        <v>139</v>
      </c>
      <c r="C42" s="2" t="s">
        <v>47</v>
      </c>
      <c r="D42">
        <v>35056.5</v>
      </c>
      <c r="E42">
        <v>31557</v>
      </c>
      <c r="F42">
        <v>19275</v>
      </c>
      <c r="G42">
        <v>2006.77</v>
      </c>
      <c r="H42">
        <v>227.85</v>
      </c>
      <c r="I42">
        <v>10047.379999999999</v>
      </c>
      <c r="J42">
        <v>0.31838831299999998</v>
      </c>
      <c r="K42">
        <v>286</v>
      </c>
      <c r="L42">
        <v>29</v>
      </c>
      <c r="M42">
        <v>0.10139860139860139</v>
      </c>
    </row>
    <row r="43" spans="1:13" x14ac:dyDescent="0.25">
      <c r="A43" s="2" t="s">
        <v>140</v>
      </c>
      <c r="B43" s="2" t="s">
        <v>141</v>
      </c>
      <c r="C43" s="2" t="s">
        <v>47</v>
      </c>
      <c r="D43">
        <v>27973</v>
      </c>
      <c r="E43">
        <v>23923</v>
      </c>
      <c r="F43">
        <v>13724.61</v>
      </c>
      <c r="G43">
        <v>2161.6</v>
      </c>
      <c r="H43">
        <v>405.6</v>
      </c>
      <c r="I43">
        <v>7631.19</v>
      </c>
      <c r="J43">
        <v>0.31898967499999997</v>
      </c>
      <c r="K43">
        <v>340</v>
      </c>
      <c r="L43">
        <v>51</v>
      </c>
      <c r="M43">
        <v>0.15</v>
      </c>
    </row>
    <row r="44" spans="1:13" x14ac:dyDescent="0.25">
      <c r="A44" s="2" t="s">
        <v>142</v>
      </c>
      <c r="B44" s="2" t="s">
        <v>143</v>
      </c>
      <c r="C44" s="2" t="s">
        <v>44</v>
      </c>
      <c r="D44">
        <v>34243.5</v>
      </c>
      <c r="E44">
        <v>29385</v>
      </c>
      <c r="F44">
        <v>17791.2</v>
      </c>
      <c r="G44">
        <v>1892.26</v>
      </c>
      <c r="H44">
        <v>324.23</v>
      </c>
      <c r="I44">
        <v>9377.31</v>
      </c>
      <c r="J44">
        <v>0.31911893800000002</v>
      </c>
      <c r="K44">
        <v>281</v>
      </c>
      <c r="L44">
        <v>41</v>
      </c>
      <c r="M44">
        <v>0.14590747330960854</v>
      </c>
    </row>
    <row r="45" spans="1:13" x14ac:dyDescent="0.25">
      <c r="A45" s="2" t="s">
        <v>144</v>
      </c>
      <c r="B45" s="2" t="s">
        <v>145</v>
      </c>
      <c r="C45" s="2" t="s">
        <v>43</v>
      </c>
      <c r="D45">
        <v>71204</v>
      </c>
      <c r="E45">
        <v>64125.599999999999</v>
      </c>
      <c r="F45">
        <v>41219.46</v>
      </c>
      <c r="G45">
        <v>2084.21</v>
      </c>
      <c r="H45">
        <v>224.47</v>
      </c>
      <c r="I45">
        <v>20597.46</v>
      </c>
      <c r="J45">
        <v>0.32120494799999999</v>
      </c>
      <c r="K45">
        <v>311</v>
      </c>
      <c r="L45">
        <v>32</v>
      </c>
      <c r="M45">
        <v>0.10289389067524116</v>
      </c>
    </row>
    <row r="46" spans="1:13" x14ac:dyDescent="0.25">
      <c r="A46" s="2" t="s">
        <v>146</v>
      </c>
      <c r="B46" s="2" t="s">
        <v>147</v>
      </c>
      <c r="C46" s="2" t="s">
        <v>43</v>
      </c>
      <c r="D46">
        <v>33753</v>
      </c>
      <c r="E46">
        <v>28657.5</v>
      </c>
      <c r="F46">
        <v>17409.28</v>
      </c>
      <c r="G46">
        <v>1755.56</v>
      </c>
      <c r="H46">
        <v>278.52999999999997</v>
      </c>
      <c r="I46">
        <v>9214.1299999999992</v>
      </c>
      <c r="J46">
        <v>0.32152595299999998</v>
      </c>
      <c r="K46">
        <v>275</v>
      </c>
      <c r="L46">
        <v>43</v>
      </c>
      <c r="M46">
        <v>0.15636363636363637</v>
      </c>
    </row>
    <row r="47" spans="1:13" x14ac:dyDescent="0.25">
      <c r="A47" s="2" t="s">
        <v>148</v>
      </c>
      <c r="B47" s="2" t="s">
        <v>149</v>
      </c>
      <c r="C47" s="2" t="s">
        <v>47</v>
      </c>
      <c r="D47">
        <v>45336.6</v>
      </c>
      <c r="E47">
        <v>38293.199999999997</v>
      </c>
      <c r="F47">
        <v>23477.759999999998</v>
      </c>
      <c r="G47">
        <v>2054.65</v>
      </c>
      <c r="H47">
        <v>388.71</v>
      </c>
      <c r="I47">
        <v>12372.08</v>
      </c>
      <c r="J47">
        <v>0.32308817200000001</v>
      </c>
      <c r="K47">
        <v>305</v>
      </c>
      <c r="L47">
        <v>49</v>
      </c>
      <c r="M47">
        <v>0.16065573770491803</v>
      </c>
    </row>
    <row r="48" spans="1:13" x14ac:dyDescent="0.25">
      <c r="A48" s="2" t="s">
        <v>150</v>
      </c>
      <c r="B48" s="2" t="s">
        <v>151</v>
      </c>
      <c r="C48" s="2" t="s">
        <v>44</v>
      </c>
      <c r="D48">
        <v>22327.200000000001</v>
      </c>
      <c r="E48">
        <v>20194.2</v>
      </c>
      <c r="F48">
        <v>11281.73</v>
      </c>
      <c r="G48">
        <v>2109.4899999999998</v>
      </c>
      <c r="H48">
        <v>243.88</v>
      </c>
      <c r="I48">
        <v>6559.1</v>
      </c>
      <c r="J48">
        <v>0.32480118099999999</v>
      </c>
      <c r="K48">
        <v>301</v>
      </c>
      <c r="L48">
        <v>30</v>
      </c>
      <c r="M48">
        <v>9.9667774086378738E-2</v>
      </c>
    </row>
    <row r="49" spans="1:13" x14ac:dyDescent="0.25">
      <c r="A49" s="2" t="s">
        <v>152</v>
      </c>
      <c r="B49" s="2" t="s">
        <v>153</v>
      </c>
      <c r="C49" s="2" t="s">
        <v>44</v>
      </c>
      <c r="D49">
        <v>38167.5</v>
      </c>
      <c r="E49">
        <v>32361</v>
      </c>
      <c r="F49">
        <v>19663.28</v>
      </c>
      <c r="G49">
        <v>1859.78</v>
      </c>
      <c r="H49">
        <v>306.12</v>
      </c>
      <c r="I49">
        <v>10531.82</v>
      </c>
      <c r="J49">
        <v>0.325447916</v>
      </c>
      <c r="K49">
        <v>308</v>
      </c>
      <c r="L49">
        <v>49</v>
      </c>
      <c r="M49">
        <v>0.15909090909090909</v>
      </c>
    </row>
    <row r="50" spans="1:13" x14ac:dyDescent="0.25">
      <c r="A50" s="2" t="s">
        <v>154</v>
      </c>
      <c r="B50" s="2" t="s">
        <v>155</v>
      </c>
      <c r="C50" s="2" t="s">
        <v>44</v>
      </c>
      <c r="D50">
        <v>31640.400000000001</v>
      </c>
      <c r="E50">
        <v>26445.599999999999</v>
      </c>
      <c r="F50">
        <v>15040.11</v>
      </c>
      <c r="G50">
        <v>2323.77</v>
      </c>
      <c r="H50">
        <v>356.21</v>
      </c>
      <c r="I50">
        <v>8725.51</v>
      </c>
      <c r="J50">
        <v>0.32994184300000001</v>
      </c>
      <c r="K50">
        <v>321</v>
      </c>
      <c r="L50">
        <v>54</v>
      </c>
      <c r="M50">
        <v>0.16822429906542055</v>
      </c>
    </row>
    <row r="51" spans="1:13" x14ac:dyDescent="0.25">
      <c r="A51" s="2" t="s">
        <v>156</v>
      </c>
      <c r="B51" s="2" t="s">
        <v>157</v>
      </c>
      <c r="C51" s="2" t="s">
        <v>43</v>
      </c>
      <c r="D51">
        <v>72310</v>
      </c>
      <c r="E51">
        <v>61737.2</v>
      </c>
      <c r="F51">
        <v>38935.06</v>
      </c>
      <c r="G51">
        <v>2015.13</v>
      </c>
      <c r="H51">
        <v>298.2</v>
      </c>
      <c r="I51">
        <v>20488.810000000001</v>
      </c>
      <c r="J51">
        <v>0.33187138399999999</v>
      </c>
      <c r="K51">
        <v>316</v>
      </c>
      <c r="L51">
        <v>47</v>
      </c>
      <c r="M51">
        <v>0.14873417721518986</v>
      </c>
    </row>
    <row r="52" spans="1:13" x14ac:dyDescent="0.25">
      <c r="A52" s="2" t="s">
        <v>158</v>
      </c>
      <c r="B52" s="2" t="s">
        <v>159</v>
      </c>
      <c r="C52" s="2" t="s">
        <v>48</v>
      </c>
      <c r="D52">
        <v>13757.5</v>
      </c>
      <c r="E52">
        <v>11772</v>
      </c>
      <c r="F52">
        <v>5144.25</v>
      </c>
      <c r="G52">
        <v>2334.35</v>
      </c>
      <c r="H52">
        <v>382.13</v>
      </c>
      <c r="I52">
        <v>3911.27</v>
      </c>
      <c r="J52">
        <v>0.33225195400000002</v>
      </c>
      <c r="K52">
        <v>335</v>
      </c>
      <c r="L52">
        <v>50</v>
      </c>
      <c r="M52">
        <v>0.14925373134328357</v>
      </c>
    </row>
    <row r="53" spans="1:13" x14ac:dyDescent="0.25">
      <c r="A53" s="2" t="s">
        <v>160</v>
      </c>
      <c r="B53" s="2" t="s">
        <v>161</v>
      </c>
      <c r="C53" s="2" t="s">
        <v>45</v>
      </c>
      <c r="D53">
        <v>38484</v>
      </c>
      <c r="E53">
        <v>34068</v>
      </c>
      <c r="F53">
        <v>20300.5</v>
      </c>
      <c r="G53">
        <v>2160.46</v>
      </c>
      <c r="H53">
        <v>273.99</v>
      </c>
      <c r="I53">
        <v>11333.05</v>
      </c>
      <c r="J53">
        <v>0.33265968099999998</v>
      </c>
      <c r="K53">
        <v>312</v>
      </c>
      <c r="L53">
        <v>37</v>
      </c>
      <c r="M53">
        <v>0.11858974358974358</v>
      </c>
    </row>
    <row r="54" spans="1:13" x14ac:dyDescent="0.25">
      <c r="A54" s="2" t="s">
        <v>162</v>
      </c>
      <c r="B54" s="2" t="s">
        <v>163</v>
      </c>
      <c r="C54" s="2" t="s">
        <v>49</v>
      </c>
      <c r="D54">
        <v>24662.400000000001</v>
      </c>
      <c r="E54">
        <v>20537.599999999999</v>
      </c>
      <c r="F54">
        <v>10720.25</v>
      </c>
      <c r="G54">
        <v>2514.5500000000002</v>
      </c>
      <c r="H54">
        <v>439.21</v>
      </c>
      <c r="I54">
        <v>6863.59</v>
      </c>
      <c r="J54">
        <v>0.33419630299999997</v>
      </c>
      <c r="K54">
        <v>378</v>
      </c>
      <c r="L54">
        <v>65</v>
      </c>
      <c r="M54">
        <v>0.17195767195767195</v>
      </c>
    </row>
    <row r="55" spans="1:13" x14ac:dyDescent="0.25">
      <c r="A55" s="2" t="s">
        <v>164</v>
      </c>
      <c r="B55" s="2" t="s">
        <v>165</v>
      </c>
      <c r="C55" s="2" t="s">
        <v>45</v>
      </c>
      <c r="D55">
        <v>75798</v>
      </c>
      <c r="E55">
        <v>66729</v>
      </c>
      <c r="F55">
        <v>41936.639999999999</v>
      </c>
      <c r="G55">
        <v>2052.3200000000002</v>
      </c>
      <c r="H55">
        <v>315.43</v>
      </c>
      <c r="I55">
        <v>22424.61</v>
      </c>
      <c r="J55">
        <v>0.336054939</v>
      </c>
      <c r="K55">
        <v>306</v>
      </c>
      <c r="L55">
        <v>38</v>
      </c>
      <c r="M55">
        <v>0.12418300653594772</v>
      </c>
    </row>
    <row r="56" spans="1:13" x14ac:dyDescent="0.25">
      <c r="A56" s="2" t="s">
        <v>166</v>
      </c>
      <c r="B56" s="2" t="s">
        <v>167</v>
      </c>
      <c r="C56" s="2" t="s">
        <v>42</v>
      </c>
      <c r="D56">
        <v>136354.5</v>
      </c>
      <c r="E56">
        <v>115191</v>
      </c>
      <c r="F56">
        <v>73417.77</v>
      </c>
      <c r="G56">
        <v>2457.71</v>
      </c>
      <c r="H56">
        <v>446.6</v>
      </c>
      <c r="I56">
        <v>38868.92</v>
      </c>
      <c r="J56">
        <v>0.337430181</v>
      </c>
      <c r="K56">
        <v>370</v>
      </c>
      <c r="L56">
        <v>59</v>
      </c>
      <c r="M56">
        <v>0.15945945945945947</v>
      </c>
    </row>
    <row r="57" spans="1:13" x14ac:dyDescent="0.25">
      <c r="A57" s="2" t="s">
        <v>168</v>
      </c>
      <c r="B57" s="2" t="s">
        <v>169</v>
      </c>
      <c r="C57" s="2" t="s">
        <v>43</v>
      </c>
      <c r="D57">
        <v>31455.599999999999</v>
      </c>
      <c r="E57">
        <v>28371.599999999999</v>
      </c>
      <c r="F57">
        <v>16403.939999999999</v>
      </c>
      <c r="G57">
        <v>2109.12</v>
      </c>
      <c r="H57">
        <v>271.04000000000002</v>
      </c>
      <c r="I57">
        <v>9587.5</v>
      </c>
      <c r="J57">
        <v>0.33792595399999997</v>
      </c>
      <c r="K57">
        <v>314</v>
      </c>
      <c r="L57">
        <v>32</v>
      </c>
      <c r="M57">
        <v>0.10191082802547771</v>
      </c>
    </row>
    <row r="58" spans="1:13" x14ac:dyDescent="0.25">
      <c r="A58" s="2" t="s">
        <v>170</v>
      </c>
      <c r="B58" s="2" t="s">
        <v>171</v>
      </c>
      <c r="C58" s="2" t="s">
        <v>45</v>
      </c>
      <c r="D58">
        <v>80823</v>
      </c>
      <c r="E58">
        <v>68910</v>
      </c>
      <c r="F58">
        <v>42764.74</v>
      </c>
      <c r="G58">
        <v>2387.12</v>
      </c>
      <c r="H58">
        <v>441.19</v>
      </c>
      <c r="I58">
        <v>23316.95</v>
      </c>
      <c r="J58">
        <v>0.338368161</v>
      </c>
      <c r="K58">
        <v>328</v>
      </c>
      <c r="L58">
        <v>50</v>
      </c>
      <c r="M58">
        <v>0.1524390243902439</v>
      </c>
    </row>
    <row r="59" spans="1:13" x14ac:dyDescent="0.25">
      <c r="A59" s="2" t="s">
        <v>172</v>
      </c>
      <c r="B59" s="2" t="s">
        <v>173</v>
      </c>
      <c r="C59" s="2" t="s">
        <v>42</v>
      </c>
      <c r="D59">
        <v>78027.600000000006</v>
      </c>
      <c r="E59">
        <v>67734.8</v>
      </c>
      <c r="F59">
        <v>42206.6</v>
      </c>
      <c r="G59">
        <v>2173.9299999999998</v>
      </c>
      <c r="H59">
        <v>407.91</v>
      </c>
      <c r="I59">
        <v>22946.36</v>
      </c>
      <c r="J59">
        <v>0.33876766400000002</v>
      </c>
      <c r="K59">
        <v>336</v>
      </c>
      <c r="L59">
        <v>46</v>
      </c>
      <c r="M59">
        <v>0.13690476190476192</v>
      </c>
    </row>
    <row r="60" spans="1:13" x14ac:dyDescent="0.25">
      <c r="A60" s="2" t="s">
        <v>174</v>
      </c>
      <c r="B60" s="2" t="s">
        <v>175</v>
      </c>
      <c r="C60" s="2" t="s">
        <v>47</v>
      </c>
      <c r="D60">
        <v>41067</v>
      </c>
      <c r="E60">
        <v>35229</v>
      </c>
      <c r="F60">
        <v>20550.240000000002</v>
      </c>
      <c r="G60">
        <v>2203.0300000000002</v>
      </c>
      <c r="H60">
        <v>342.61</v>
      </c>
      <c r="I60">
        <v>12133.12</v>
      </c>
      <c r="J60">
        <v>0.34440716500000002</v>
      </c>
      <c r="K60">
        <v>333</v>
      </c>
      <c r="L60">
        <v>49</v>
      </c>
      <c r="M60">
        <v>0.14714714714714713</v>
      </c>
    </row>
    <row r="61" spans="1:13" x14ac:dyDescent="0.25">
      <c r="A61" s="2" t="s">
        <v>176</v>
      </c>
      <c r="B61" s="2" t="s">
        <v>177</v>
      </c>
      <c r="C61" s="2" t="s">
        <v>46</v>
      </c>
      <c r="D61">
        <v>22209.3</v>
      </c>
      <c r="E61">
        <v>19133.099999999999</v>
      </c>
      <c r="F61">
        <v>10194.24</v>
      </c>
      <c r="G61">
        <v>2066.63</v>
      </c>
      <c r="H61">
        <v>271</v>
      </c>
      <c r="I61">
        <v>6601.23</v>
      </c>
      <c r="J61">
        <v>0.34501622799999998</v>
      </c>
      <c r="K61">
        <v>302</v>
      </c>
      <c r="L61">
        <v>43</v>
      </c>
      <c r="M61">
        <v>0.14238410596026491</v>
      </c>
    </row>
    <row r="62" spans="1:13" x14ac:dyDescent="0.25">
      <c r="A62" s="2" t="s">
        <v>178</v>
      </c>
      <c r="B62" s="2" t="s">
        <v>179</v>
      </c>
      <c r="C62" s="2" t="s">
        <v>46</v>
      </c>
      <c r="D62">
        <v>33428.400000000001</v>
      </c>
      <c r="E62">
        <v>28802.400000000001</v>
      </c>
      <c r="F62">
        <v>16408.2</v>
      </c>
      <c r="G62">
        <v>2136.4699999999998</v>
      </c>
      <c r="H62">
        <v>314.57</v>
      </c>
      <c r="I62">
        <v>9943.16</v>
      </c>
      <c r="J62">
        <v>0.34521984300000003</v>
      </c>
      <c r="K62">
        <v>338</v>
      </c>
      <c r="L62">
        <v>48</v>
      </c>
      <c r="M62">
        <v>0.14201183431952663</v>
      </c>
    </row>
    <row r="63" spans="1:13" x14ac:dyDescent="0.25">
      <c r="A63" s="2" t="s">
        <v>180</v>
      </c>
      <c r="B63" s="2" t="s">
        <v>181</v>
      </c>
      <c r="C63" s="2" t="s">
        <v>44</v>
      </c>
      <c r="D63">
        <v>59617.8</v>
      </c>
      <c r="E63">
        <v>51576.800000000003</v>
      </c>
      <c r="F63">
        <v>31262.720000000001</v>
      </c>
      <c r="G63">
        <v>2151.92</v>
      </c>
      <c r="H63">
        <v>314.94</v>
      </c>
      <c r="I63">
        <v>17847.22</v>
      </c>
      <c r="J63">
        <v>0.34603193700000001</v>
      </c>
      <c r="K63">
        <v>330</v>
      </c>
      <c r="L63">
        <v>46</v>
      </c>
      <c r="M63">
        <v>0.1393939393939394</v>
      </c>
    </row>
    <row r="64" spans="1:13" x14ac:dyDescent="0.25">
      <c r="A64" s="2" t="s">
        <v>182</v>
      </c>
      <c r="B64" s="2" t="s">
        <v>183</v>
      </c>
      <c r="C64" s="2" t="s">
        <v>47</v>
      </c>
      <c r="D64">
        <v>27216</v>
      </c>
      <c r="E64">
        <v>22969.200000000001</v>
      </c>
      <c r="F64">
        <v>12656.83</v>
      </c>
      <c r="G64">
        <v>1963.24</v>
      </c>
      <c r="H64">
        <v>379.51</v>
      </c>
      <c r="I64">
        <v>7969.62</v>
      </c>
      <c r="J64">
        <v>0.34696985499999999</v>
      </c>
      <c r="K64">
        <v>273</v>
      </c>
      <c r="L64">
        <v>44</v>
      </c>
      <c r="M64">
        <v>0.16117216117216118</v>
      </c>
    </row>
    <row r="65" spans="1:13" x14ac:dyDescent="0.25">
      <c r="A65" s="2" t="s">
        <v>184</v>
      </c>
      <c r="B65" s="2" t="s">
        <v>185</v>
      </c>
      <c r="C65" s="2" t="s">
        <v>45</v>
      </c>
      <c r="D65">
        <v>101720</v>
      </c>
      <c r="E65">
        <v>83540</v>
      </c>
      <c r="F65">
        <v>51930.3</v>
      </c>
      <c r="G65">
        <v>2200.8200000000002</v>
      </c>
      <c r="H65">
        <v>383.71</v>
      </c>
      <c r="I65">
        <v>29025.17</v>
      </c>
      <c r="J65">
        <v>0.34744038799999999</v>
      </c>
      <c r="K65">
        <v>311</v>
      </c>
      <c r="L65">
        <v>57</v>
      </c>
      <c r="M65">
        <v>0.18327974276527331</v>
      </c>
    </row>
    <row r="66" spans="1:13" x14ac:dyDescent="0.25">
      <c r="A66" s="2" t="s">
        <v>186</v>
      </c>
      <c r="B66" s="2" t="s">
        <v>187</v>
      </c>
      <c r="C66" s="2" t="s">
        <v>47</v>
      </c>
      <c r="D66">
        <v>29492.400000000001</v>
      </c>
      <c r="E66">
        <v>25321.200000000001</v>
      </c>
      <c r="F66">
        <v>14158.13</v>
      </c>
      <c r="G66">
        <v>2061.62</v>
      </c>
      <c r="H66">
        <v>295.45</v>
      </c>
      <c r="I66">
        <v>8806</v>
      </c>
      <c r="J66">
        <v>0.34777182800000001</v>
      </c>
      <c r="K66">
        <v>301</v>
      </c>
      <c r="L66">
        <v>44</v>
      </c>
      <c r="M66">
        <v>0.1461794019933555</v>
      </c>
    </row>
    <row r="67" spans="1:13" x14ac:dyDescent="0.25">
      <c r="A67" s="2" t="s">
        <v>188</v>
      </c>
      <c r="B67" s="2" t="s">
        <v>189</v>
      </c>
      <c r="C67" s="2" t="s">
        <v>49</v>
      </c>
      <c r="D67">
        <v>13297</v>
      </c>
      <c r="E67">
        <v>10885</v>
      </c>
      <c r="F67">
        <v>4455.5</v>
      </c>
      <c r="G67">
        <v>2166.71</v>
      </c>
      <c r="H67">
        <v>455.61</v>
      </c>
      <c r="I67">
        <v>3807.18</v>
      </c>
      <c r="J67">
        <v>0.34976389499999999</v>
      </c>
      <c r="K67">
        <v>326</v>
      </c>
      <c r="L67">
        <v>60</v>
      </c>
      <c r="M67">
        <v>0.18404907975460122</v>
      </c>
    </row>
    <row r="68" spans="1:13" x14ac:dyDescent="0.25">
      <c r="A68" s="2" t="s">
        <v>190</v>
      </c>
      <c r="B68" s="2" t="s">
        <v>191</v>
      </c>
      <c r="C68" s="2" t="s">
        <v>47</v>
      </c>
      <c r="D68">
        <v>25041</v>
      </c>
      <c r="E68">
        <v>22197</v>
      </c>
      <c r="F68">
        <v>12274.08</v>
      </c>
      <c r="G68">
        <v>1884.8</v>
      </c>
      <c r="H68">
        <v>270.92</v>
      </c>
      <c r="I68">
        <v>7767.2</v>
      </c>
      <c r="J68">
        <v>0.34992116099999998</v>
      </c>
      <c r="K68">
        <v>309</v>
      </c>
      <c r="L68">
        <v>36</v>
      </c>
      <c r="M68">
        <v>0.11650485436893204</v>
      </c>
    </row>
    <row r="69" spans="1:13" x14ac:dyDescent="0.25">
      <c r="A69" s="2" t="s">
        <v>192</v>
      </c>
      <c r="B69" s="2" t="s">
        <v>193</v>
      </c>
      <c r="C69" s="2" t="s">
        <v>48</v>
      </c>
      <c r="D69">
        <v>25755</v>
      </c>
      <c r="E69">
        <v>22474</v>
      </c>
      <c r="F69">
        <v>12381.6</v>
      </c>
      <c r="G69">
        <v>1911.07</v>
      </c>
      <c r="H69">
        <v>277.17</v>
      </c>
      <c r="I69">
        <v>7904.16</v>
      </c>
      <c r="J69">
        <v>0.35170241200000002</v>
      </c>
      <c r="K69">
        <v>309</v>
      </c>
      <c r="L69">
        <v>41</v>
      </c>
      <c r="M69">
        <v>0.13268608414239483</v>
      </c>
    </row>
    <row r="70" spans="1:13" x14ac:dyDescent="0.25">
      <c r="A70" s="2" t="s">
        <v>194</v>
      </c>
      <c r="B70" s="2" t="s">
        <v>195</v>
      </c>
      <c r="C70" s="2" t="s">
        <v>42</v>
      </c>
      <c r="D70">
        <v>76188</v>
      </c>
      <c r="E70">
        <v>64405.599999999999</v>
      </c>
      <c r="F70">
        <v>39239.199999999997</v>
      </c>
      <c r="G70">
        <v>2116.41</v>
      </c>
      <c r="H70">
        <v>355.45</v>
      </c>
      <c r="I70">
        <v>22694.54</v>
      </c>
      <c r="J70">
        <v>0.35236904899999999</v>
      </c>
      <c r="K70">
        <v>333</v>
      </c>
      <c r="L70">
        <v>53</v>
      </c>
      <c r="M70">
        <v>0.15915915915915915</v>
      </c>
    </row>
    <row r="71" spans="1:13" x14ac:dyDescent="0.25">
      <c r="A71" s="2" t="s">
        <v>196</v>
      </c>
      <c r="B71" s="2" t="s">
        <v>197</v>
      </c>
      <c r="C71" s="2" t="s">
        <v>49</v>
      </c>
      <c r="D71">
        <v>13768</v>
      </c>
      <c r="E71">
        <v>12009</v>
      </c>
      <c r="F71">
        <v>5124.51</v>
      </c>
      <c r="G71">
        <v>2244.48</v>
      </c>
      <c r="H71">
        <v>406.76</v>
      </c>
      <c r="I71">
        <v>4233.25</v>
      </c>
      <c r="J71">
        <v>0.352506453</v>
      </c>
      <c r="K71">
        <v>335</v>
      </c>
      <c r="L71">
        <v>44</v>
      </c>
      <c r="M71">
        <v>0.13134328358208955</v>
      </c>
    </row>
    <row r="72" spans="1:13" x14ac:dyDescent="0.25">
      <c r="A72" s="2" t="s">
        <v>198</v>
      </c>
      <c r="B72" s="2" t="s">
        <v>199</v>
      </c>
      <c r="C72" s="2" t="s">
        <v>48</v>
      </c>
      <c r="D72">
        <v>17172</v>
      </c>
      <c r="E72">
        <v>14564</v>
      </c>
      <c r="F72">
        <v>7490.57</v>
      </c>
      <c r="G72">
        <v>1636.85</v>
      </c>
      <c r="H72">
        <v>279.64999999999998</v>
      </c>
      <c r="I72">
        <v>5156.93</v>
      </c>
      <c r="J72">
        <v>0.35408747600000001</v>
      </c>
      <c r="K72">
        <v>264</v>
      </c>
      <c r="L72">
        <v>41</v>
      </c>
      <c r="M72">
        <v>0.1553030303030303</v>
      </c>
    </row>
    <row r="73" spans="1:13" x14ac:dyDescent="0.25">
      <c r="A73" s="2" t="s">
        <v>200</v>
      </c>
      <c r="B73" s="2" t="s">
        <v>201</v>
      </c>
      <c r="C73" s="2" t="s">
        <v>48</v>
      </c>
      <c r="D73">
        <v>28890</v>
      </c>
      <c r="E73">
        <v>23808</v>
      </c>
      <c r="F73">
        <v>12533.37</v>
      </c>
      <c r="G73">
        <v>2360.42</v>
      </c>
      <c r="H73">
        <v>446.2</v>
      </c>
      <c r="I73">
        <v>8468.01</v>
      </c>
      <c r="J73">
        <v>0.35567918300000001</v>
      </c>
      <c r="K73">
        <v>354</v>
      </c>
      <c r="L73">
        <v>63</v>
      </c>
      <c r="M73">
        <v>0.17796610169491525</v>
      </c>
    </row>
    <row r="74" spans="1:13" x14ac:dyDescent="0.25">
      <c r="A74" s="2" t="s">
        <v>202</v>
      </c>
      <c r="B74" s="2" t="s">
        <v>203</v>
      </c>
      <c r="C74" s="2" t="s">
        <v>45</v>
      </c>
      <c r="D74">
        <v>106480</v>
      </c>
      <c r="E74">
        <v>89564</v>
      </c>
      <c r="F74">
        <v>55139.839999999997</v>
      </c>
      <c r="G74">
        <v>2096.35</v>
      </c>
      <c r="H74">
        <v>399.15</v>
      </c>
      <c r="I74">
        <v>31928.66</v>
      </c>
      <c r="J74">
        <v>0.35648988399999998</v>
      </c>
      <c r="K74">
        <v>325</v>
      </c>
      <c r="L74">
        <v>53</v>
      </c>
      <c r="M74">
        <v>0.16307692307692306</v>
      </c>
    </row>
    <row r="75" spans="1:13" x14ac:dyDescent="0.25">
      <c r="A75" s="2" t="s">
        <v>204</v>
      </c>
      <c r="B75" s="2" t="s">
        <v>205</v>
      </c>
      <c r="C75" s="2" t="s">
        <v>42</v>
      </c>
      <c r="D75">
        <v>86313.5</v>
      </c>
      <c r="E75">
        <v>68950</v>
      </c>
      <c r="F75">
        <v>41722.230000000003</v>
      </c>
      <c r="G75">
        <v>2109.41</v>
      </c>
      <c r="H75">
        <v>507.93</v>
      </c>
      <c r="I75">
        <v>24610.43</v>
      </c>
      <c r="J75">
        <v>0.35693154500000002</v>
      </c>
      <c r="K75">
        <v>301</v>
      </c>
      <c r="L75">
        <v>62</v>
      </c>
      <c r="M75">
        <v>0.20598006644518271</v>
      </c>
    </row>
    <row r="76" spans="1:13" x14ac:dyDescent="0.25">
      <c r="A76" s="2" t="s">
        <v>206</v>
      </c>
      <c r="B76" s="2" t="s">
        <v>207</v>
      </c>
      <c r="C76" s="2" t="s">
        <v>47</v>
      </c>
      <c r="D76">
        <v>13842</v>
      </c>
      <c r="E76">
        <v>11968.2</v>
      </c>
      <c r="F76">
        <v>5546.4</v>
      </c>
      <c r="G76">
        <v>1797.68</v>
      </c>
      <c r="H76">
        <v>331.06</v>
      </c>
      <c r="I76">
        <v>4293.0600000000004</v>
      </c>
      <c r="J76">
        <v>0.35870556999999997</v>
      </c>
      <c r="K76">
        <v>279</v>
      </c>
      <c r="L76">
        <v>39</v>
      </c>
      <c r="M76">
        <v>0.13978494623655913</v>
      </c>
    </row>
    <row r="77" spans="1:13" x14ac:dyDescent="0.25">
      <c r="A77" s="2" t="s">
        <v>208</v>
      </c>
      <c r="B77" s="2" t="s">
        <v>209</v>
      </c>
      <c r="C77" s="2" t="s">
        <v>47</v>
      </c>
      <c r="D77">
        <v>30414</v>
      </c>
      <c r="E77">
        <v>25617.599999999999</v>
      </c>
      <c r="F77">
        <v>14058.42</v>
      </c>
      <c r="G77">
        <v>2018.2</v>
      </c>
      <c r="H77">
        <v>350.71</v>
      </c>
      <c r="I77">
        <v>9190.27</v>
      </c>
      <c r="J77">
        <v>0.35874828199999997</v>
      </c>
      <c r="K77">
        <v>307</v>
      </c>
      <c r="L77">
        <v>49</v>
      </c>
      <c r="M77">
        <v>0.15960912052117263</v>
      </c>
    </row>
    <row r="78" spans="1:13" x14ac:dyDescent="0.25">
      <c r="A78" s="2" t="s">
        <v>210</v>
      </c>
      <c r="B78" s="2" t="s">
        <v>211</v>
      </c>
      <c r="C78" s="2" t="s">
        <v>44</v>
      </c>
      <c r="D78">
        <v>36139.199999999997</v>
      </c>
      <c r="E78">
        <v>31778.400000000001</v>
      </c>
      <c r="F78">
        <v>17548.189999999999</v>
      </c>
      <c r="G78">
        <v>2376.56</v>
      </c>
      <c r="H78">
        <v>326.14999999999998</v>
      </c>
      <c r="I78">
        <v>11527.5</v>
      </c>
      <c r="J78">
        <v>0.36274639400000003</v>
      </c>
      <c r="K78">
        <v>365</v>
      </c>
      <c r="L78">
        <v>46</v>
      </c>
      <c r="M78">
        <v>0.12602739726027398</v>
      </c>
    </row>
    <row r="79" spans="1:13" x14ac:dyDescent="0.25">
      <c r="A79" s="2" t="s">
        <v>212</v>
      </c>
      <c r="B79" s="2" t="s">
        <v>213</v>
      </c>
      <c r="C79" s="2" t="s">
        <v>44</v>
      </c>
      <c r="D79">
        <v>68636.399999999994</v>
      </c>
      <c r="E79">
        <v>59612</v>
      </c>
      <c r="F79">
        <v>35478.85</v>
      </c>
      <c r="G79">
        <v>1994.89</v>
      </c>
      <c r="H79">
        <v>266.91000000000003</v>
      </c>
      <c r="I79">
        <v>21871.35</v>
      </c>
      <c r="J79">
        <v>0.36689508799999998</v>
      </c>
      <c r="K79">
        <v>297</v>
      </c>
      <c r="L79">
        <v>40</v>
      </c>
      <c r="M79">
        <v>0.13468013468013468</v>
      </c>
    </row>
    <row r="80" spans="1:13" x14ac:dyDescent="0.25">
      <c r="A80" s="2" t="s">
        <v>214</v>
      </c>
      <c r="B80" s="2" t="s">
        <v>215</v>
      </c>
      <c r="C80" s="2" t="s">
        <v>43</v>
      </c>
      <c r="D80">
        <v>31424.400000000001</v>
      </c>
      <c r="E80">
        <v>26349.599999999999</v>
      </c>
      <c r="F80">
        <v>14116.56</v>
      </c>
      <c r="G80">
        <v>2112.5500000000002</v>
      </c>
      <c r="H80">
        <v>451.41</v>
      </c>
      <c r="I80">
        <v>9669.08</v>
      </c>
      <c r="J80">
        <v>0.366953578</v>
      </c>
      <c r="K80">
        <v>315</v>
      </c>
      <c r="L80">
        <v>53</v>
      </c>
      <c r="M80">
        <v>0.16825396825396827</v>
      </c>
    </row>
    <row r="81" spans="1:13" x14ac:dyDescent="0.25">
      <c r="A81" s="2" t="s">
        <v>216</v>
      </c>
      <c r="B81" s="2" t="s">
        <v>217</v>
      </c>
      <c r="C81" s="2" t="s">
        <v>43</v>
      </c>
      <c r="D81">
        <v>52375.4</v>
      </c>
      <c r="E81">
        <v>45029.599999999999</v>
      </c>
      <c r="F81">
        <v>25947.95</v>
      </c>
      <c r="G81">
        <v>2125.7399999999998</v>
      </c>
      <c r="H81">
        <v>290.97000000000003</v>
      </c>
      <c r="I81">
        <v>16664.939999999999</v>
      </c>
      <c r="J81">
        <v>0.37008856400000001</v>
      </c>
      <c r="K81">
        <v>287</v>
      </c>
      <c r="L81">
        <v>42</v>
      </c>
      <c r="M81">
        <v>0.14634146341463414</v>
      </c>
    </row>
    <row r="82" spans="1:13" x14ac:dyDescent="0.25">
      <c r="A82" s="2" t="s">
        <v>218</v>
      </c>
      <c r="B82" s="2" t="s">
        <v>219</v>
      </c>
      <c r="C82" s="2" t="s">
        <v>44</v>
      </c>
      <c r="D82">
        <v>44656.2</v>
      </c>
      <c r="E82">
        <v>37148.400000000001</v>
      </c>
      <c r="F82">
        <v>20834.55</v>
      </c>
      <c r="G82">
        <v>2141.62</v>
      </c>
      <c r="H82">
        <v>392.67</v>
      </c>
      <c r="I82">
        <v>13779.56</v>
      </c>
      <c r="J82">
        <v>0.37093279899999998</v>
      </c>
      <c r="K82">
        <v>305</v>
      </c>
      <c r="L82">
        <v>52</v>
      </c>
      <c r="M82">
        <v>0.17049180327868851</v>
      </c>
    </row>
    <row r="83" spans="1:13" x14ac:dyDescent="0.25">
      <c r="A83" s="2" t="s">
        <v>220</v>
      </c>
      <c r="B83" s="2" t="s">
        <v>221</v>
      </c>
      <c r="C83" s="2" t="s">
        <v>46</v>
      </c>
      <c r="D83">
        <v>43669.8</v>
      </c>
      <c r="E83">
        <v>35706.6</v>
      </c>
      <c r="F83">
        <v>19964.439999999999</v>
      </c>
      <c r="G83">
        <v>2043.54</v>
      </c>
      <c r="H83">
        <v>432.76</v>
      </c>
      <c r="I83">
        <v>13265.86</v>
      </c>
      <c r="J83">
        <v>0.371524032</v>
      </c>
      <c r="K83">
        <v>297</v>
      </c>
      <c r="L83">
        <v>56</v>
      </c>
      <c r="M83">
        <v>0.18855218855218855</v>
      </c>
    </row>
    <row r="84" spans="1:13" x14ac:dyDescent="0.25">
      <c r="A84" s="2" t="s">
        <v>222</v>
      </c>
      <c r="B84" s="2" t="s">
        <v>223</v>
      </c>
      <c r="C84" s="2" t="s">
        <v>45</v>
      </c>
      <c r="D84">
        <v>49848</v>
      </c>
      <c r="E84">
        <v>43718</v>
      </c>
      <c r="F84">
        <v>24986.85</v>
      </c>
      <c r="G84">
        <v>2082.62</v>
      </c>
      <c r="H84">
        <v>317.83999999999997</v>
      </c>
      <c r="I84">
        <v>16330.69</v>
      </c>
      <c r="J84">
        <v>0.373546137</v>
      </c>
      <c r="K84">
        <v>303</v>
      </c>
      <c r="L84">
        <v>38</v>
      </c>
      <c r="M84">
        <v>0.1254125412541254</v>
      </c>
    </row>
    <row r="85" spans="1:13" x14ac:dyDescent="0.25">
      <c r="A85" s="2" t="s">
        <v>224</v>
      </c>
      <c r="B85" s="2" t="s">
        <v>225</v>
      </c>
      <c r="C85" s="2" t="s">
        <v>49</v>
      </c>
      <c r="D85">
        <v>23111.200000000001</v>
      </c>
      <c r="E85">
        <v>19332</v>
      </c>
      <c r="F85">
        <v>9303.27</v>
      </c>
      <c r="G85">
        <v>2285.94</v>
      </c>
      <c r="H85">
        <v>496.95</v>
      </c>
      <c r="I85">
        <v>7245.84</v>
      </c>
      <c r="J85">
        <v>0.37481067699999998</v>
      </c>
      <c r="K85">
        <v>350</v>
      </c>
      <c r="L85">
        <v>59</v>
      </c>
      <c r="M85">
        <v>0.16857142857142857</v>
      </c>
    </row>
    <row r="86" spans="1:13" x14ac:dyDescent="0.25">
      <c r="A86" s="2" t="s">
        <v>226</v>
      </c>
      <c r="B86" s="2" t="s">
        <v>227</v>
      </c>
      <c r="C86" s="2" t="s">
        <v>45</v>
      </c>
      <c r="D86">
        <v>80523</v>
      </c>
      <c r="E86">
        <v>71391</v>
      </c>
      <c r="F86">
        <v>42107.3</v>
      </c>
      <c r="G86">
        <v>2162.69</v>
      </c>
      <c r="H86">
        <v>286.97000000000003</v>
      </c>
      <c r="I86">
        <v>26834.04</v>
      </c>
      <c r="J86">
        <v>0.37587427000000001</v>
      </c>
      <c r="K86">
        <v>327</v>
      </c>
      <c r="L86">
        <v>38</v>
      </c>
      <c r="M86">
        <v>0.11620795107033639</v>
      </c>
    </row>
    <row r="87" spans="1:13" x14ac:dyDescent="0.25">
      <c r="A87" s="2" t="s">
        <v>228</v>
      </c>
      <c r="B87" s="2" t="s">
        <v>229</v>
      </c>
      <c r="C87" s="2" t="s">
        <v>44</v>
      </c>
      <c r="D87">
        <v>22370.400000000001</v>
      </c>
      <c r="E87">
        <v>19611.900000000001</v>
      </c>
      <c r="F87">
        <v>10201.1</v>
      </c>
      <c r="G87">
        <v>1770.9</v>
      </c>
      <c r="H87">
        <v>235.14</v>
      </c>
      <c r="I87">
        <v>7404.76</v>
      </c>
      <c r="J87">
        <v>0.37756464200000001</v>
      </c>
      <c r="K87">
        <v>304</v>
      </c>
      <c r="L87">
        <v>38</v>
      </c>
      <c r="M87">
        <v>0.125</v>
      </c>
    </row>
    <row r="88" spans="1:13" x14ac:dyDescent="0.25">
      <c r="A88" s="2" t="s">
        <v>230</v>
      </c>
      <c r="B88" s="2" t="s">
        <v>231</v>
      </c>
      <c r="C88" s="2" t="s">
        <v>49</v>
      </c>
      <c r="D88">
        <v>22315.200000000001</v>
      </c>
      <c r="E88">
        <v>19420.8</v>
      </c>
      <c r="F88">
        <v>9478.56</v>
      </c>
      <c r="G88">
        <v>2241.1</v>
      </c>
      <c r="H88">
        <v>339.21</v>
      </c>
      <c r="I88">
        <v>7361.93</v>
      </c>
      <c r="J88">
        <v>0.37907449700000001</v>
      </c>
      <c r="K88">
        <v>339</v>
      </c>
      <c r="L88">
        <v>45</v>
      </c>
      <c r="M88">
        <v>0.13274336283185842</v>
      </c>
    </row>
    <row r="89" spans="1:13" x14ac:dyDescent="0.25">
      <c r="A89" s="2" t="s">
        <v>232</v>
      </c>
      <c r="B89" s="2" t="s">
        <v>233</v>
      </c>
      <c r="C89" s="2" t="s">
        <v>46</v>
      </c>
      <c r="D89">
        <v>54843.8</v>
      </c>
      <c r="E89">
        <v>45586.2</v>
      </c>
      <c r="F89">
        <v>25627.08</v>
      </c>
      <c r="G89">
        <v>2136.13</v>
      </c>
      <c r="H89">
        <v>318.88</v>
      </c>
      <c r="I89">
        <v>17504.11</v>
      </c>
      <c r="J89">
        <v>0.38397826499999999</v>
      </c>
      <c r="K89">
        <v>302</v>
      </c>
      <c r="L89">
        <v>53</v>
      </c>
      <c r="M89">
        <v>0.17549668874172186</v>
      </c>
    </row>
    <row r="90" spans="1:13" x14ac:dyDescent="0.25">
      <c r="A90" s="2" t="s">
        <v>234</v>
      </c>
      <c r="B90" s="2" t="s">
        <v>235</v>
      </c>
      <c r="C90" s="2" t="s">
        <v>49</v>
      </c>
      <c r="D90">
        <v>25798</v>
      </c>
      <c r="E90">
        <v>23344</v>
      </c>
      <c r="F90">
        <v>12061.46</v>
      </c>
      <c r="G90">
        <v>2069.13</v>
      </c>
      <c r="H90">
        <v>240.77</v>
      </c>
      <c r="I90">
        <v>8972.64</v>
      </c>
      <c r="J90">
        <v>0.38436600399999998</v>
      </c>
      <c r="K90">
        <v>313</v>
      </c>
      <c r="L90">
        <v>30</v>
      </c>
      <c r="M90">
        <v>9.5846645367412137E-2</v>
      </c>
    </row>
    <row r="91" spans="1:13" x14ac:dyDescent="0.25">
      <c r="A91" s="2" t="s">
        <v>236</v>
      </c>
      <c r="B91" s="2" t="s">
        <v>237</v>
      </c>
      <c r="C91" s="2" t="s">
        <v>42</v>
      </c>
      <c r="D91">
        <v>46668</v>
      </c>
      <c r="E91">
        <v>39158</v>
      </c>
      <c r="F91">
        <v>21729.4</v>
      </c>
      <c r="G91">
        <v>1935.01</v>
      </c>
      <c r="H91">
        <v>381.89</v>
      </c>
      <c r="I91">
        <v>15111.7</v>
      </c>
      <c r="J91">
        <v>0.38591603200000002</v>
      </c>
      <c r="K91">
        <v>285</v>
      </c>
      <c r="L91">
        <v>47</v>
      </c>
      <c r="M91">
        <v>0.1649122807017544</v>
      </c>
    </row>
    <row r="92" spans="1:13" x14ac:dyDescent="0.25">
      <c r="A92" s="2" t="s">
        <v>238</v>
      </c>
      <c r="B92" s="2" t="s">
        <v>239</v>
      </c>
      <c r="C92" s="2" t="s">
        <v>43</v>
      </c>
      <c r="D92">
        <v>38658</v>
      </c>
      <c r="E92">
        <v>34360.5</v>
      </c>
      <c r="F92">
        <v>18698.28</v>
      </c>
      <c r="G92">
        <v>2176.9</v>
      </c>
      <c r="H92">
        <v>210.78</v>
      </c>
      <c r="I92">
        <v>13274.54</v>
      </c>
      <c r="J92">
        <v>0.38633139799999999</v>
      </c>
      <c r="K92">
        <v>314</v>
      </c>
      <c r="L92">
        <v>36</v>
      </c>
      <c r="M92">
        <v>0.11464968152866242</v>
      </c>
    </row>
    <row r="93" spans="1:13" x14ac:dyDescent="0.25">
      <c r="A93" s="2" t="s">
        <v>240</v>
      </c>
      <c r="B93" s="2" t="s">
        <v>241</v>
      </c>
      <c r="C93" s="2" t="s">
        <v>48</v>
      </c>
      <c r="D93">
        <v>26773</v>
      </c>
      <c r="E93">
        <v>22960</v>
      </c>
      <c r="F93">
        <v>11580.8</v>
      </c>
      <c r="G93">
        <v>2200.4699999999998</v>
      </c>
      <c r="H93">
        <v>304.45999999999998</v>
      </c>
      <c r="I93">
        <v>8874.27</v>
      </c>
      <c r="J93">
        <v>0.38651001699999998</v>
      </c>
      <c r="K93">
        <v>328</v>
      </c>
      <c r="L93">
        <v>48</v>
      </c>
      <c r="M93">
        <v>0.14634146341463414</v>
      </c>
    </row>
    <row r="94" spans="1:13" x14ac:dyDescent="0.25">
      <c r="A94" s="2" t="s">
        <v>242</v>
      </c>
      <c r="B94" s="2" t="s">
        <v>243</v>
      </c>
      <c r="C94" s="2" t="s">
        <v>46</v>
      </c>
      <c r="D94">
        <v>47289.599999999999</v>
      </c>
      <c r="E94">
        <v>39250.800000000003</v>
      </c>
      <c r="F94">
        <v>21544.959999999999</v>
      </c>
      <c r="G94">
        <v>1961.9</v>
      </c>
      <c r="H94">
        <v>426.66</v>
      </c>
      <c r="I94">
        <v>15317.28</v>
      </c>
      <c r="J94">
        <v>0.390241218</v>
      </c>
      <c r="K94">
        <v>319</v>
      </c>
      <c r="L94">
        <v>56</v>
      </c>
      <c r="M94">
        <v>0.17554858934169279</v>
      </c>
    </row>
    <row r="95" spans="1:13" x14ac:dyDescent="0.25">
      <c r="A95" s="2" t="s">
        <v>244</v>
      </c>
      <c r="B95" s="2" t="s">
        <v>245</v>
      </c>
      <c r="C95" s="2" t="s">
        <v>42</v>
      </c>
      <c r="D95">
        <v>116235</v>
      </c>
      <c r="E95">
        <v>101565</v>
      </c>
      <c r="F95">
        <v>58734.64</v>
      </c>
      <c r="G95">
        <v>2218.85</v>
      </c>
      <c r="H95">
        <v>351.41</v>
      </c>
      <c r="I95">
        <v>40260.1</v>
      </c>
      <c r="J95">
        <v>0.39639738099999999</v>
      </c>
      <c r="K95">
        <v>315</v>
      </c>
      <c r="L95">
        <v>41</v>
      </c>
      <c r="M95">
        <v>0.13015873015873017</v>
      </c>
    </row>
    <row r="96" spans="1:13" x14ac:dyDescent="0.25">
      <c r="A96" s="2" t="s">
        <v>246</v>
      </c>
      <c r="B96" s="2" t="s">
        <v>247</v>
      </c>
      <c r="C96" s="2" t="s">
        <v>48</v>
      </c>
      <c r="D96">
        <v>12897</v>
      </c>
      <c r="E96">
        <v>11069.5</v>
      </c>
      <c r="F96">
        <v>4256.8</v>
      </c>
      <c r="G96">
        <v>2041.46</v>
      </c>
      <c r="H96">
        <v>363.43</v>
      </c>
      <c r="I96">
        <v>4407.8100000000004</v>
      </c>
      <c r="J96">
        <v>0.398194137</v>
      </c>
      <c r="K96">
        <v>318</v>
      </c>
      <c r="L96">
        <v>46</v>
      </c>
      <c r="M96">
        <v>0.14465408805031446</v>
      </c>
    </row>
    <row r="97" spans="1:13" x14ac:dyDescent="0.25">
      <c r="A97" s="2" t="s">
        <v>248</v>
      </c>
      <c r="B97" s="2" t="s">
        <v>249</v>
      </c>
      <c r="C97" s="2" t="s">
        <v>44</v>
      </c>
      <c r="D97">
        <v>30300</v>
      </c>
      <c r="E97">
        <v>26432.400000000001</v>
      </c>
      <c r="F97">
        <v>13438.15</v>
      </c>
      <c r="G97">
        <v>2123.67</v>
      </c>
      <c r="H97">
        <v>325.54000000000002</v>
      </c>
      <c r="I97">
        <v>10545.04</v>
      </c>
      <c r="J97">
        <v>0.39894372099999997</v>
      </c>
      <c r="K97">
        <v>305</v>
      </c>
      <c r="L97">
        <v>40</v>
      </c>
      <c r="M97">
        <v>0.13114754098360656</v>
      </c>
    </row>
    <row r="98" spans="1:13" x14ac:dyDescent="0.25">
      <c r="A98" s="2" t="s">
        <v>250</v>
      </c>
      <c r="B98" s="2" t="s">
        <v>251</v>
      </c>
      <c r="C98" s="2" t="s">
        <v>48</v>
      </c>
      <c r="D98">
        <v>20477.599999999999</v>
      </c>
      <c r="E98">
        <v>17996</v>
      </c>
      <c r="F98">
        <v>8433.9599999999991</v>
      </c>
      <c r="G98">
        <v>2014.29</v>
      </c>
      <c r="H98">
        <v>353.39</v>
      </c>
      <c r="I98">
        <v>7194.36</v>
      </c>
      <c r="J98">
        <v>0.399775506</v>
      </c>
      <c r="K98">
        <v>307</v>
      </c>
      <c r="L98">
        <v>39</v>
      </c>
      <c r="M98">
        <v>0.12703583061889251</v>
      </c>
    </row>
    <row r="99" spans="1:13" x14ac:dyDescent="0.25">
      <c r="A99" s="2" t="s">
        <v>252</v>
      </c>
      <c r="B99" s="2" t="s">
        <v>253</v>
      </c>
      <c r="C99" s="2" t="s">
        <v>42</v>
      </c>
      <c r="D99">
        <v>92746.5</v>
      </c>
      <c r="E99">
        <v>82719</v>
      </c>
      <c r="F99">
        <v>47128.32</v>
      </c>
      <c r="G99">
        <v>2202.8000000000002</v>
      </c>
      <c r="H99">
        <v>269.38</v>
      </c>
      <c r="I99">
        <v>33118.5</v>
      </c>
      <c r="J99">
        <v>0.40037355400000002</v>
      </c>
      <c r="K99">
        <v>324</v>
      </c>
      <c r="L99">
        <v>36</v>
      </c>
      <c r="M99">
        <v>0.1111111111111111</v>
      </c>
    </row>
    <row r="100" spans="1:13" x14ac:dyDescent="0.25">
      <c r="A100" s="2" t="s">
        <v>254</v>
      </c>
      <c r="B100" s="2" t="s">
        <v>255</v>
      </c>
      <c r="C100" s="2" t="s">
        <v>44</v>
      </c>
      <c r="D100">
        <v>52401.8</v>
      </c>
      <c r="E100">
        <v>43885.599999999999</v>
      </c>
      <c r="F100">
        <v>24036.44</v>
      </c>
      <c r="G100">
        <v>1901.59</v>
      </c>
      <c r="H100">
        <v>346.03</v>
      </c>
      <c r="I100">
        <v>17601.54</v>
      </c>
      <c r="J100">
        <v>0.40107780199999998</v>
      </c>
      <c r="K100">
        <v>293</v>
      </c>
      <c r="L100">
        <v>49</v>
      </c>
      <c r="M100">
        <v>0.16723549488054607</v>
      </c>
    </row>
    <row r="101" spans="1:13" x14ac:dyDescent="0.25">
      <c r="A101" s="2" t="s">
        <v>256</v>
      </c>
      <c r="B101" s="2" t="s">
        <v>257</v>
      </c>
      <c r="C101" s="2" t="s">
        <v>46</v>
      </c>
      <c r="D101">
        <v>14244</v>
      </c>
      <c r="E101">
        <v>11826.6</v>
      </c>
      <c r="F101">
        <v>4899.53</v>
      </c>
      <c r="G101">
        <v>1780.47</v>
      </c>
      <c r="H101">
        <v>394.94</v>
      </c>
      <c r="I101">
        <v>4751.66</v>
      </c>
      <c r="J101">
        <v>0.40177734900000001</v>
      </c>
      <c r="K101">
        <v>292</v>
      </c>
      <c r="L101">
        <v>51</v>
      </c>
      <c r="M101">
        <v>0.17465753424657535</v>
      </c>
    </row>
    <row r="102" spans="1:13" x14ac:dyDescent="0.25">
      <c r="A102" s="2" t="s">
        <v>258</v>
      </c>
      <c r="B102" s="2" t="s">
        <v>259</v>
      </c>
      <c r="C102" s="2" t="s">
        <v>45</v>
      </c>
      <c r="D102">
        <v>59732.5</v>
      </c>
      <c r="E102">
        <v>52175</v>
      </c>
      <c r="F102">
        <v>29089.83</v>
      </c>
      <c r="G102">
        <v>1826.29</v>
      </c>
      <c r="H102">
        <v>272.02999999999997</v>
      </c>
      <c r="I102">
        <v>20986.85</v>
      </c>
      <c r="J102">
        <v>0.40223957799999999</v>
      </c>
      <c r="K102">
        <v>295</v>
      </c>
      <c r="L102">
        <v>38</v>
      </c>
      <c r="M102">
        <v>0.12881355932203389</v>
      </c>
    </row>
    <row r="103" spans="1:13" x14ac:dyDescent="0.25">
      <c r="A103" s="2" t="s">
        <v>260</v>
      </c>
      <c r="B103" s="2" t="s">
        <v>261</v>
      </c>
      <c r="C103" s="2" t="s">
        <v>46</v>
      </c>
      <c r="D103">
        <v>56546.6</v>
      </c>
      <c r="E103">
        <v>47022.8</v>
      </c>
      <c r="F103">
        <v>25646.03</v>
      </c>
      <c r="G103">
        <v>2104.73</v>
      </c>
      <c r="H103">
        <v>348.69</v>
      </c>
      <c r="I103">
        <v>18923.349999999999</v>
      </c>
      <c r="J103">
        <v>0.40242924699999999</v>
      </c>
      <c r="K103">
        <v>311</v>
      </c>
      <c r="L103">
        <v>54</v>
      </c>
      <c r="M103">
        <v>0.17363344051446947</v>
      </c>
    </row>
    <row r="104" spans="1:13" x14ac:dyDescent="0.25">
      <c r="A104" s="2" t="s">
        <v>262</v>
      </c>
      <c r="B104" s="2" t="s">
        <v>263</v>
      </c>
      <c r="C104" s="2" t="s">
        <v>45</v>
      </c>
      <c r="D104">
        <v>60455</v>
      </c>
      <c r="E104">
        <v>51962.5</v>
      </c>
      <c r="F104">
        <v>28644.66</v>
      </c>
      <c r="G104">
        <v>1991.96</v>
      </c>
      <c r="H104">
        <v>284.49</v>
      </c>
      <c r="I104">
        <v>21041.39</v>
      </c>
      <c r="J104">
        <v>0.40493413499999997</v>
      </c>
      <c r="K104">
        <v>296</v>
      </c>
      <c r="L104">
        <v>43</v>
      </c>
      <c r="M104">
        <v>0.14527027027027026</v>
      </c>
    </row>
    <row r="105" spans="1:13" x14ac:dyDescent="0.25">
      <c r="A105" s="2" t="s">
        <v>264</v>
      </c>
      <c r="B105" s="2" t="s">
        <v>265</v>
      </c>
      <c r="C105" s="2" t="s">
        <v>46</v>
      </c>
      <c r="D105">
        <v>17099.400000000001</v>
      </c>
      <c r="E105">
        <v>14881.2</v>
      </c>
      <c r="F105">
        <v>6335.48</v>
      </c>
      <c r="G105">
        <v>2179.14</v>
      </c>
      <c r="H105">
        <v>339.85</v>
      </c>
      <c r="I105">
        <v>6026.73</v>
      </c>
      <c r="J105">
        <v>0.40498951700000002</v>
      </c>
      <c r="K105">
        <v>344</v>
      </c>
      <c r="L105">
        <v>46</v>
      </c>
      <c r="M105">
        <v>0.13372093023255813</v>
      </c>
    </row>
    <row r="106" spans="1:13" x14ac:dyDescent="0.25">
      <c r="A106" s="2" t="s">
        <v>266</v>
      </c>
      <c r="B106" s="2" t="s">
        <v>267</v>
      </c>
      <c r="C106" s="2" t="s">
        <v>45</v>
      </c>
      <c r="D106">
        <v>95000</v>
      </c>
      <c r="E106">
        <v>80760</v>
      </c>
      <c r="F106">
        <v>45573.96</v>
      </c>
      <c r="G106">
        <v>2044.27</v>
      </c>
      <c r="H106">
        <v>310.60000000000002</v>
      </c>
      <c r="I106">
        <v>32831.17</v>
      </c>
      <c r="J106">
        <v>0.40652761300000001</v>
      </c>
      <c r="K106">
        <v>290</v>
      </c>
      <c r="L106">
        <v>44</v>
      </c>
      <c r="M106">
        <v>0.15172413793103448</v>
      </c>
    </row>
    <row r="107" spans="1:13" x14ac:dyDescent="0.25">
      <c r="A107" s="2" t="s">
        <v>268</v>
      </c>
      <c r="B107" s="2" t="s">
        <v>269</v>
      </c>
      <c r="C107" s="2" t="s">
        <v>47</v>
      </c>
      <c r="D107">
        <v>42883.5</v>
      </c>
      <c r="E107">
        <v>38017.5</v>
      </c>
      <c r="F107">
        <v>19979.560000000001</v>
      </c>
      <c r="G107">
        <v>2284.67</v>
      </c>
      <c r="H107">
        <v>293.83999999999997</v>
      </c>
      <c r="I107">
        <v>15459.43</v>
      </c>
      <c r="J107">
        <v>0.406639837</v>
      </c>
      <c r="K107">
        <v>347</v>
      </c>
      <c r="L107">
        <v>40</v>
      </c>
      <c r="M107">
        <v>0.11527377521613832</v>
      </c>
    </row>
    <row r="108" spans="1:13" x14ac:dyDescent="0.25">
      <c r="A108" s="2" t="s">
        <v>270</v>
      </c>
      <c r="B108" s="2" t="s">
        <v>271</v>
      </c>
      <c r="C108" s="2" t="s">
        <v>44</v>
      </c>
      <c r="D108">
        <v>80757.600000000006</v>
      </c>
      <c r="E108">
        <v>68975.199999999997</v>
      </c>
      <c r="F108">
        <v>38331.74</v>
      </c>
      <c r="G108">
        <v>2235.06</v>
      </c>
      <c r="H108">
        <v>343.17</v>
      </c>
      <c r="I108">
        <v>28065.23</v>
      </c>
      <c r="J108">
        <v>0.40688870799999999</v>
      </c>
      <c r="K108">
        <v>351</v>
      </c>
      <c r="L108">
        <v>53</v>
      </c>
      <c r="M108">
        <v>0.150997150997151</v>
      </c>
    </row>
    <row r="109" spans="1:13" x14ac:dyDescent="0.25">
      <c r="A109" s="2" t="s">
        <v>272</v>
      </c>
      <c r="B109" s="2" t="s">
        <v>273</v>
      </c>
      <c r="C109" s="2" t="s">
        <v>48</v>
      </c>
      <c r="D109">
        <v>18426.400000000001</v>
      </c>
      <c r="E109">
        <v>15692</v>
      </c>
      <c r="F109">
        <v>7057.05</v>
      </c>
      <c r="G109">
        <v>1910.18</v>
      </c>
      <c r="H109">
        <v>304.47000000000003</v>
      </c>
      <c r="I109">
        <v>6420.3</v>
      </c>
      <c r="J109">
        <v>0.40914478700000001</v>
      </c>
      <c r="K109">
        <v>278</v>
      </c>
      <c r="L109">
        <v>43</v>
      </c>
      <c r="M109">
        <v>0.15467625899280577</v>
      </c>
    </row>
    <row r="110" spans="1:13" x14ac:dyDescent="0.25">
      <c r="A110" s="2" t="s">
        <v>274</v>
      </c>
      <c r="B110" s="2" t="s">
        <v>275</v>
      </c>
      <c r="C110" s="2" t="s">
        <v>48</v>
      </c>
      <c r="D110">
        <v>29473.200000000001</v>
      </c>
      <c r="E110">
        <v>24158.400000000001</v>
      </c>
      <c r="F110">
        <v>11853.1</v>
      </c>
      <c r="G110">
        <v>2032.19</v>
      </c>
      <c r="H110">
        <v>387.63</v>
      </c>
      <c r="I110">
        <v>9885.48</v>
      </c>
      <c r="J110">
        <v>0.409194318</v>
      </c>
      <c r="K110">
        <v>300</v>
      </c>
      <c r="L110">
        <v>55</v>
      </c>
      <c r="M110">
        <v>0.18333333333333332</v>
      </c>
    </row>
    <row r="111" spans="1:13" x14ac:dyDescent="0.25">
      <c r="A111" s="2" t="s">
        <v>276</v>
      </c>
      <c r="B111" s="2" t="s">
        <v>277</v>
      </c>
      <c r="C111" s="2" t="s">
        <v>43</v>
      </c>
      <c r="D111">
        <v>29637.599999999999</v>
      </c>
      <c r="E111">
        <v>25150.799999999999</v>
      </c>
      <c r="F111">
        <v>12579.84</v>
      </c>
      <c r="G111">
        <v>1935.77</v>
      </c>
      <c r="H111">
        <v>338.54</v>
      </c>
      <c r="I111">
        <v>10296.65</v>
      </c>
      <c r="J111">
        <v>0.40939651999999999</v>
      </c>
      <c r="K111">
        <v>302</v>
      </c>
      <c r="L111">
        <v>46</v>
      </c>
      <c r="M111">
        <v>0.15231788079470199</v>
      </c>
    </row>
    <row r="112" spans="1:13" x14ac:dyDescent="0.25">
      <c r="A112" s="2" t="s">
        <v>278</v>
      </c>
      <c r="B112" s="2" t="s">
        <v>279</v>
      </c>
      <c r="C112" s="2" t="s">
        <v>47</v>
      </c>
      <c r="D112">
        <v>15703.8</v>
      </c>
      <c r="E112">
        <v>13804.8</v>
      </c>
      <c r="F112">
        <v>5744.9</v>
      </c>
      <c r="G112">
        <v>2094.3200000000002</v>
      </c>
      <c r="H112">
        <v>259.92</v>
      </c>
      <c r="I112">
        <v>5705.66</v>
      </c>
      <c r="J112">
        <v>0.413309863</v>
      </c>
      <c r="K112">
        <v>322</v>
      </c>
      <c r="L112">
        <v>39</v>
      </c>
      <c r="M112">
        <v>0.12111801242236025</v>
      </c>
    </row>
    <row r="113" spans="1:13" x14ac:dyDescent="0.25">
      <c r="A113" s="2" t="s">
        <v>280</v>
      </c>
      <c r="B113" s="2" t="s">
        <v>281</v>
      </c>
      <c r="C113" s="2" t="s">
        <v>49</v>
      </c>
      <c r="D113">
        <v>31729.200000000001</v>
      </c>
      <c r="E113">
        <v>26679.599999999999</v>
      </c>
      <c r="F113">
        <v>13232.7</v>
      </c>
      <c r="G113">
        <v>2074.65</v>
      </c>
      <c r="H113">
        <v>337.3</v>
      </c>
      <c r="I113">
        <v>11034.95</v>
      </c>
      <c r="J113">
        <v>0.41361002400000002</v>
      </c>
      <c r="K113">
        <v>323</v>
      </c>
      <c r="L113">
        <v>53</v>
      </c>
      <c r="M113">
        <v>0.16408668730650156</v>
      </c>
    </row>
    <row r="114" spans="1:13" x14ac:dyDescent="0.25">
      <c r="A114" s="2" t="s">
        <v>282</v>
      </c>
      <c r="B114" s="2" t="s">
        <v>283</v>
      </c>
      <c r="C114" s="2" t="s">
        <v>46</v>
      </c>
      <c r="D114">
        <v>20052.900000000001</v>
      </c>
      <c r="E114">
        <v>16246.8</v>
      </c>
      <c r="F114">
        <v>7167.6</v>
      </c>
      <c r="G114">
        <v>1968.28</v>
      </c>
      <c r="H114">
        <v>366.16</v>
      </c>
      <c r="I114">
        <v>6744.76</v>
      </c>
      <c r="J114">
        <v>0.41514390499999998</v>
      </c>
      <c r="K114">
        <v>273</v>
      </c>
      <c r="L114">
        <v>53</v>
      </c>
      <c r="M114">
        <v>0.19413919413919414</v>
      </c>
    </row>
    <row r="115" spans="1:13" x14ac:dyDescent="0.25">
      <c r="A115" s="2" t="s">
        <v>284</v>
      </c>
      <c r="B115" s="2" t="s">
        <v>285</v>
      </c>
      <c r="C115" s="2" t="s">
        <v>44</v>
      </c>
      <c r="D115">
        <v>66836</v>
      </c>
      <c r="E115">
        <v>59315.199999999997</v>
      </c>
      <c r="F115">
        <v>32424.48</v>
      </c>
      <c r="G115">
        <v>1907.06</v>
      </c>
      <c r="H115">
        <v>304.60000000000002</v>
      </c>
      <c r="I115">
        <v>24679.06</v>
      </c>
      <c r="J115">
        <v>0.41606637099999999</v>
      </c>
      <c r="K115">
        <v>287</v>
      </c>
      <c r="L115">
        <v>34</v>
      </c>
      <c r="M115">
        <v>0.11846689895470383</v>
      </c>
    </row>
    <row r="116" spans="1:13" x14ac:dyDescent="0.25">
      <c r="A116" s="2" t="s">
        <v>286</v>
      </c>
      <c r="B116" s="2" t="s">
        <v>287</v>
      </c>
      <c r="C116" s="2" t="s">
        <v>44</v>
      </c>
      <c r="D116">
        <v>68210.8</v>
      </c>
      <c r="E116">
        <v>59245.2</v>
      </c>
      <c r="F116">
        <v>32167.439999999999</v>
      </c>
      <c r="G116">
        <v>2060.36</v>
      </c>
      <c r="H116">
        <v>288.55</v>
      </c>
      <c r="I116">
        <v>24728.85</v>
      </c>
      <c r="J116">
        <v>0.41739837200000002</v>
      </c>
      <c r="K116">
        <v>298</v>
      </c>
      <c r="L116">
        <v>40</v>
      </c>
      <c r="M116">
        <v>0.13422818791946309</v>
      </c>
    </row>
    <row r="117" spans="1:13" x14ac:dyDescent="0.25">
      <c r="A117" s="2" t="s">
        <v>288</v>
      </c>
      <c r="B117" s="2" t="s">
        <v>289</v>
      </c>
      <c r="C117" s="2" t="s">
        <v>44</v>
      </c>
      <c r="D117">
        <v>41487</v>
      </c>
      <c r="E117">
        <v>35530.5</v>
      </c>
      <c r="F117">
        <v>18038</v>
      </c>
      <c r="G117">
        <v>2256.25</v>
      </c>
      <c r="H117">
        <v>356.95</v>
      </c>
      <c r="I117">
        <v>14879.3</v>
      </c>
      <c r="J117">
        <v>0.41877541800000001</v>
      </c>
      <c r="K117">
        <v>340</v>
      </c>
      <c r="L117">
        <v>50</v>
      </c>
      <c r="M117">
        <v>0.14705882352941177</v>
      </c>
    </row>
    <row r="118" spans="1:13" x14ac:dyDescent="0.25">
      <c r="A118" s="2" t="s">
        <v>290</v>
      </c>
      <c r="B118" s="2" t="s">
        <v>291</v>
      </c>
      <c r="C118" s="2" t="s">
        <v>45</v>
      </c>
      <c r="D118">
        <v>53744</v>
      </c>
      <c r="E118">
        <v>46908</v>
      </c>
      <c r="F118">
        <v>24748.32</v>
      </c>
      <c r="G118">
        <v>2010.95</v>
      </c>
      <c r="H118">
        <v>335.84</v>
      </c>
      <c r="I118">
        <v>19812.89</v>
      </c>
      <c r="J118">
        <v>0.42237763299999997</v>
      </c>
      <c r="K118">
        <v>325</v>
      </c>
      <c r="L118">
        <v>43</v>
      </c>
      <c r="M118">
        <v>0.13230769230769232</v>
      </c>
    </row>
    <row r="119" spans="1:13" x14ac:dyDescent="0.25">
      <c r="A119" s="2" t="s">
        <v>292</v>
      </c>
      <c r="B119" s="2" t="s">
        <v>293</v>
      </c>
      <c r="C119" s="2" t="s">
        <v>42</v>
      </c>
      <c r="D119">
        <v>86296</v>
      </c>
      <c r="E119">
        <v>74462.5</v>
      </c>
      <c r="F119">
        <v>40656.199999999997</v>
      </c>
      <c r="G119">
        <v>1953.6</v>
      </c>
      <c r="H119">
        <v>389.69</v>
      </c>
      <c r="I119">
        <v>31463.01</v>
      </c>
      <c r="J119">
        <v>0.42253496699999998</v>
      </c>
      <c r="K119">
        <v>302</v>
      </c>
      <c r="L119">
        <v>42</v>
      </c>
      <c r="M119">
        <v>0.13907284768211919</v>
      </c>
    </row>
    <row r="120" spans="1:13" x14ac:dyDescent="0.25">
      <c r="A120" s="2" t="s">
        <v>294</v>
      </c>
      <c r="B120" s="2" t="s">
        <v>295</v>
      </c>
      <c r="C120" s="2" t="s">
        <v>42</v>
      </c>
      <c r="D120">
        <v>110308.5</v>
      </c>
      <c r="E120">
        <v>94572</v>
      </c>
      <c r="F120">
        <v>52358.35</v>
      </c>
      <c r="G120">
        <v>1916.96</v>
      </c>
      <c r="H120">
        <v>309.32</v>
      </c>
      <c r="I120">
        <v>39987.370000000003</v>
      </c>
      <c r="J120">
        <v>0.42282461999999998</v>
      </c>
      <c r="K120">
        <v>297</v>
      </c>
      <c r="L120">
        <v>44</v>
      </c>
      <c r="M120">
        <v>0.14814814814814814</v>
      </c>
    </row>
    <row r="121" spans="1:13" x14ac:dyDescent="0.25">
      <c r="A121" s="2" t="s">
        <v>296</v>
      </c>
      <c r="B121" s="2" t="s">
        <v>297</v>
      </c>
      <c r="C121" s="2" t="s">
        <v>42</v>
      </c>
      <c r="D121">
        <v>82239.5</v>
      </c>
      <c r="E121">
        <v>74000.5</v>
      </c>
      <c r="F121">
        <v>40467.22</v>
      </c>
      <c r="G121">
        <v>1968.14</v>
      </c>
      <c r="H121">
        <v>261.13</v>
      </c>
      <c r="I121">
        <v>31304.01</v>
      </c>
      <c r="J121">
        <v>0.42302430400000002</v>
      </c>
      <c r="K121">
        <v>286</v>
      </c>
      <c r="L121">
        <v>29</v>
      </c>
      <c r="M121">
        <v>0.10139860139860139</v>
      </c>
    </row>
    <row r="122" spans="1:13" x14ac:dyDescent="0.25">
      <c r="A122" s="2" t="s">
        <v>298</v>
      </c>
      <c r="B122" s="2" t="s">
        <v>299</v>
      </c>
      <c r="C122" s="2" t="s">
        <v>48</v>
      </c>
      <c r="D122">
        <v>36051</v>
      </c>
      <c r="E122">
        <v>31398</v>
      </c>
      <c r="F122">
        <v>15774.55</v>
      </c>
      <c r="G122">
        <v>1971.31</v>
      </c>
      <c r="H122">
        <v>358.21</v>
      </c>
      <c r="I122">
        <v>13293.93</v>
      </c>
      <c r="J122">
        <v>0.42340053500000002</v>
      </c>
      <c r="K122">
        <v>292</v>
      </c>
      <c r="L122">
        <v>39</v>
      </c>
      <c r="M122">
        <v>0.13356164383561644</v>
      </c>
    </row>
    <row r="123" spans="1:13" x14ac:dyDescent="0.25">
      <c r="A123" s="2" t="s">
        <v>300</v>
      </c>
      <c r="B123" s="2" t="s">
        <v>301</v>
      </c>
      <c r="C123" s="2" t="s">
        <v>47</v>
      </c>
      <c r="D123">
        <v>27911</v>
      </c>
      <c r="E123">
        <v>24119</v>
      </c>
      <c r="F123">
        <v>11387.12</v>
      </c>
      <c r="G123">
        <v>2131.36</v>
      </c>
      <c r="H123">
        <v>366.32</v>
      </c>
      <c r="I123">
        <v>10234.200000000001</v>
      </c>
      <c r="J123">
        <v>0.42432107499999999</v>
      </c>
      <c r="K123">
        <v>344</v>
      </c>
      <c r="L123">
        <v>48</v>
      </c>
      <c r="M123">
        <v>0.13953488372093023</v>
      </c>
    </row>
    <row r="124" spans="1:13" x14ac:dyDescent="0.25">
      <c r="A124" s="2" t="s">
        <v>302</v>
      </c>
      <c r="B124" s="2" t="s">
        <v>303</v>
      </c>
      <c r="C124" s="2" t="s">
        <v>42</v>
      </c>
      <c r="D124">
        <v>120240</v>
      </c>
      <c r="E124">
        <v>104148</v>
      </c>
      <c r="F124">
        <v>56927.79</v>
      </c>
      <c r="G124">
        <v>2350.56</v>
      </c>
      <c r="H124">
        <v>312.12</v>
      </c>
      <c r="I124">
        <v>44557.53</v>
      </c>
      <c r="J124">
        <v>0.42782895500000001</v>
      </c>
      <c r="K124">
        <v>326</v>
      </c>
      <c r="L124">
        <v>45</v>
      </c>
      <c r="M124">
        <v>0.13803680981595093</v>
      </c>
    </row>
    <row r="125" spans="1:13" x14ac:dyDescent="0.25">
      <c r="A125" s="2" t="s">
        <v>304</v>
      </c>
      <c r="B125" s="2" t="s">
        <v>305</v>
      </c>
      <c r="C125" s="2" t="s">
        <v>46</v>
      </c>
      <c r="D125">
        <v>47507.4</v>
      </c>
      <c r="E125">
        <v>42597</v>
      </c>
      <c r="F125">
        <v>21936.2</v>
      </c>
      <c r="G125">
        <v>2202.0100000000002</v>
      </c>
      <c r="H125">
        <v>229.39</v>
      </c>
      <c r="I125">
        <v>18229.400000000001</v>
      </c>
      <c r="J125">
        <v>0.42795032500000002</v>
      </c>
      <c r="K125">
        <v>320</v>
      </c>
      <c r="L125">
        <v>34</v>
      </c>
      <c r="M125">
        <v>0.10625</v>
      </c>
    </row>
    <row r="126" spans="1:13" x14ac:dyDescent="0.25">
      <c r="A126" s="2" t="s">
        <v>306</v>
      </c>
      <c r="B126" s="2" t="s">
        <v>307</v>
      </c>
      <c r="C126" s="2" t="s">
        <v>47</v>
      </c>
      <c r="D126">
        <v>25081</v>
      </c>
      <c r="E126">
        <v>20694</v>
      </c>
      <c r="F126">
        <v>9291.42</v>
      </c>
      <c r="G126">
        <v>2103.23</v>
      </c>
      <c r="H126">
        <v>421.2</v>
      </c>
      <c r="I126">
        <v>8878.15</v>
      </c>
      <c r="J126">
        <v>0.429020489</v>
      </c>
      <c r="K126">
        <v>301</v>
      </c>
      <c r="L126">
        <v>55</v>
      </c>
      <c r="M126">
        <v>0.18272425249169436</v>
      </c>
    </row>
    <row r="127" spans="1:13" x14ac:dyDescent="0.25">
      <c r="A127" s="2" t="s">
        <v>308</v>
      </c>
      <c r="B127" s="2" t="s">
        <v>309</v>
      </c>
      <c r="C127" s="2" t="s">
        <v>47</v>
      </c>
      <c r="D127">
        <v>45109.8</v>
      </c>
      <c r="E127">
        <v>39061.800000000003</v>
      </c>
      <c r="F127">
        <v>19985.37</v>
      </c>
      <c r="G127">
        <v>2024.03</v>
      </c>
      <c r="H127">
        <v>292.68</v>
      </c>
      <c r="I127">
        <v>16759.72</v>
      </c>
      <c r="J127">
        <v>0.42905652100000002</v>
      </c>
      <c r="K127">
        <v>305</v>
      </c>
      <c r="L127">
        <v>42</v>
      </c>
      <c r="M127">
        <v>0.13770491803278689</v>
      </c>
    </row>
    <row r="128" spans="1:13" x14ac:dyDescent="0.25">
      <c r="A128" s="2" t="s">
        <v>310</v>
      </c>
      <c r="B128" s="2" t="s">
        <v>311</v>
      </c>
      <c r="C128" s="2" t="s">
        <v>49</v>
      </c>
      <c r="D128">
        <v>26082</v>
      </c>
      <c r="E128">
        <v>23396</v>
      </c>
      <c r="F128">
        <v>11012.39</v>
      </c>
      <c r="G128">
        <v>2077.9899999999998</v>
      </c>
      <c r="H128">
        <v>228.12</v>
      </c>
      <c r="I128">
        <v>10077.5</v>
      </c>
      <c r="J128">
        <v>0.43073602300000002</v>
      </c>
      <c r="K128">
        <v>315</v>
      </c>
      <c r="L128">
        <v>34</v>
      </c>
      <c r="M128">
        <v>0.10793650793650794</v>
      </c>
    </row>
    <row r="129" spans="1:13" x14ac:dyDescent="0.25">
      <c r="A129" s="2" t="s">
        <v>312</v>
      </c>
      <c r="B129" s="2" t="s">
        <v>313</v>
      </c>
      <c r="C129" s="2" t="s">
        <v>44</v>
      </c>
      <c r="D129">
        <v>43207.5</v>
      </c>
      <c r="E129">
        <v>35734.5</v>
      </c>
      <c r="F129">
        <v>17481.599999999999</v>
      </c>
      <c r="G129">
        <v>2284.92</v>
      </c>
      <c r="H129">
        <v>488.96</v>
      </c>
      <c r="I129">
        <v>15479.02</v>
      </c>
      <c r="J129">
        <v>0.43316738700000001</v>
      </c>
      <c r="K129">
        <v>350</v>
      </c>
      <c r="L129">
        <v>62</v>
      </c>
      <c r="M129">
        <v>0.17714285714285713</v>
      </c>
    </row>
    <row r="130" spans="1:13" x14ac:dyDescent="0.25">
      <c r="A130" s="2" t="s">
        <v>314</v>
      </c>
      <c r="B130" s="2" t="s">
        <v>315</v>
      </c>
      <c r="C130" s="2" t="s">
        <v>43</v>
      </c>
      <c r="D130">
        <v>95585</v>
      </c>
      <c r="E130">
        <v>81539.5</v>
      </c>
      <c r="F130">
        <v>43636.6</v>
      </c>
      <c r="G130">
        <v>2114.9</v>
      </c>
      <c r="H130">
        <v>336.46</v>
      </c>
      <c r="I130">
        <v>35451.54</v>
      </c>
      <c r="J130">
        <v>0.43477749999999998</v>
      </c>
      <c r="K130">
        <v>334</v>
      </c>
      <c r="L130">
        <v>50</v>
      </c>
      <c r="M130">
        <v>0.1497005988023952</v>
      </c>
    </row>
    <row r="131" spans="1:13" x14ac:dyDescent="0.25">
      <c r="A131" s="2" t="s">
        <v>316</v>
      </c>
      <c r="B131" s="2" t="s">
        <v>317</v>
      </c>
      <c r="C131" s="2" t="s">
        <v>42</v>
      </c>
      <c r="D131">
        <v>87549</v>
      </c>
      <c r="E131">
        <v>72047.5</v>
      </c>
      <c r="F131">
        <v>38026.5</v>
      </c>
      <c r="G131">
        <v>2110.63</v>
      </c>
      <c r="H131">
        <v>423.04</v>
      </c>
      <c r="I131">
        <v>31487.33</v>
      </c>
      <c r="J131">
        <v>0.43703570600000002</v>
      </c>
      <c r="K131">
        <v>306</v>
      </c>
      <c r="L131">
        <v>55</v>
      </c>
      <c r="M131">
        <v>0.17973856209150327</v>
      </c>
    </row>
    <row r="132" spans="1:13" x14ac:dyDescent="0.25">
      <c r="A132" s="2" t="s">
        <v>318</v>
      </c>
      <c r="B132" s="2" t="s">
        <v>319</v>
      </c>
      <c r="C132" s="2" t="s">
        <v>48</v>
      </c>
      <c r="D132">
        <v>38452.5</v>
      </c>
      <c r="E132">
        <v>33120</v>
      </c>
      <c r="F132">
        <v>16204.23</v>
      </c>
      <c r="G132">
        <v>2092</v>
      </c>
      <c r="H132">
        <v>333.77</v>
      </c>
      <c r="I132">
        <v>14490</v>
      </c>
      <c r="J132">
        <v>0.4375</v>
      </c>
      <c r="K132">
        <v>312</v>
      </c>
      <c r="L132">
        <v>45</v>
      </c>
      <c r="M132">
        <v>0.14423076923076922</v>
      </c>
    </row>
    <row r="133" spans="1:13" x14ac:dyDescent="0.25">
      <c r="A133" s="2" t="s">
        <v>320</v>
      </c>
      <c r="B133" s="2" t="s">
        <v>321</v>
      </c>
      <c r="C133" s="2" t="s">
        <v>42</v>
      </c>
      <c r="D133">
        <v>157877.5</v>
      </c>
      <c r="E133">
        <v>135921.5</v>
      </c>
      <c r="F133">
        <v>73772.27</v>
      </c>
      <c r="G133">
        <v>2152.25</v>
      </c>
      <c r="H133">
        <v>359.51</v>
      </c>
      <c r="I133">
        <v>59637.47</v>
      </c>
      <c r="J133">
        <v>0.43876406600000001</v>
      </c>
      <c r="K133">
        <v>349</v>
      </c>
      <c r="L133">
        <v>50</v>
      </c>
      <c r="M133">
        <v>0.14326647564469913</v>
      </c>
    </row>
    <row r="134" spans="1:13" x14ac:dyDescent="0.25">
      <c r="A134" s="2" t="s">
        <v>322</v>
      </c>
      <c r="B134" s="2" t="s">
        <v>323</v>
      </c>
      <c r="C134" s="2" t="s">
        <v>42</v>
      </c>
      <c r="D134">
        <v>66911.600000000006</v>
      </c>
      <c r="E134">
        <v>57223.6</v>
      </c>
      <c r="F134">
        <v>29958.63</v>
      </c>
      <c r="G134">
        <v>1784.07</v>
      </c>
      <c r="H134">
        <v>337.17</v>
      </c>
      <c r="I134">
        <v>25143.73</v>
      </c>
      <c r="J134">
        <v>0.43939441099999998</v>
      </c>
      <c r="K134">
        <v>290</v>
      </c>
      <c r="L134">
        <v>43</v>
      </c>
      <c r="M134">
        <v>0.14827586206896551</v>
      </c>
    </row>
    <row r="135" spans="1:13" x14ac:dyDescent="0.25">
      <c r="A135" s="2" t="s">
        <v>324</v>
      </c>
      <c r="B135" s="2" t="s">
        <v>325</v>
      </c>
      <c r="C135" s="2" t="s">
        <v>46</v>
      </c>
      <c r="D135">
        <v>16737</v>
      </c>
      <c r="E135">
        <v>14449.2</v>
      </c>
      <c r="F135">
        <v>5537.15</v>
      </c>
      <c r="G135">
        <v>2185.2600000000002</v>
      </c>
      <c r="H135">
        <v>299.77999999999997</v>
      </c>
      <c r="I135">
        <v>6427.01</v>
      </c>
      <c r="J135">
        <v>0.44480040399999998</v>
      </c>
      <c r="K135">
        <v>343</v>
      </c>
      <c r="L135">
        <v>48</v>
      </c>
      <c r="M135">
        <v>0.13994169096209913</v>
      </c>
    </row>
    <row r="136" spans="1:13" x14ac:dyDescent="0.25">
      <c r="A136" s="2" t="s">
        <v>326</v>
      </c>
      <c r="B136" s="2" t="s">
        <v>327</v>
      </c>
      <c r="C136" s="2" t="s">
        <v>42</v>
      </c>
      <c r="D136">
        <v>80857</v>
      </c>
      <c r="E136">
        <v>70000</v>
      </c>
      <c r="F136">
        <v>36648.480000000003</v>
      </c>
      <c r="G136">
        <v>1799</v>
      </c>
      <c r="H136">
        <v>330.88</v>
      </c>
      <c r="I136">
        <v>31221.64</v>
      </c>
      <c r="J136">
        <v>0.44602342900000003</v>
      </c>
      <c r="K136">
        <v>281</v>
      </c>
      <c r="L136">
        <v>39</v>
      </c>
      <c r="M136">
        <v>0.13879003558718861</v>
      </c>
    </row>
    <row r="137" spans="1:13" x14ac:dyDescent="0.25">
      <c r="A137" s="2" t="s">
        <v>328</v>
      </c>
      <c r="B137" s="2" t="s">
        <v>329</v>
      </c>
      <c r="C137" s="2" t="s">
        <v>43</v>
      </c>
      <c r="D137">
        <v>87493</v>
      </c>
      <c r="E137">
        <v>74553.5</v>
      </c>
      <c r="F137">
        <v>38668.699999999997</v>
      </c>
      <c r="G137">
        <v>2084.13</v>
      </c>
      <c r="H137">
        <v>386.82</v>
      </c>
      <c r="I137">
        <v>33413.85</v>
      </c>
      <c r="J137">
        <v>0.44818620199999998</v>
      </c>
      <c r="K137">
        <v>305</v>
      </c>
      <c r="L137">
        <v>46</v>
      </c>
      <c r="M137">
        <v>0.15081967213114755</v>
      </c>
    </row>
    <row r="138" spans="1:13" x14ac:dyDescent="0.25">
      <c r="A138" s="2" t="s">
        <v>330</v>
      </c>
      <c r="B138" s="2" t="s">
        <v>331</v>
      </c>
      <c r="C138" s="2" t="s">
        <v>42</v>
      </c>
      <c r="D138">
        <v>110547</v>
      </c>
      <c r="E138">
        <v>93649.5</v>
      </c>
      <c r="F138">
        <v>49316.4</v>
      </c>
      <c r="G138">
        <v>1890.9</v>
      </c>
      <c r="H138">
        <v>305.54000000000002</v>
      </c>
      <c r="I138">
        <v>42136.66</v>
      </c>
      <c r="J138">
        <v>0.44994004199999998</v>
      </c>
      <c r="K138">
        <v>299</v>
      </c>
      <c r="L138">
        <v>47</v>
      </c>
      <c r="M138">
        <v>0.15719063545150502</v>
      </c>
    </row>
    <row r="139" spans="1:13" x14ac:dyDescent="0.25">
      <c r="A139" s="2" t="s">
        <v>332</v>
      </c>
      <c r="B139" s="2" t="s">
        <v>333</v>
      </c>
      <c r="C139" s="2" t="s">
        <v>49</v>
      </c>
      <c r="D139">
        <v>31818</v>
      </c>
      <c r="E139">
        <v>27836.400000000001</v>
      </c>
      <c r="F139">
        <v>12879.33</v>
      </c>
      <c r="G139">
        <v>2052.0700000000002</v>
      </c>
      <c r="H139">
        <v>376.65</v>
      </c>
      <c r="I139">
        <v>12528.35</v>
      </c>
      <c r="J139">
        <v>0.45007077099999998</v>
      </c>
      <c r="K139">
        <v>325</v>
      </c>
      <c r="L139">
        <v>42</v>
      </c>
      <c r="M139">
        <v>0.12923076923076923</v>
      </c>
    </row>
    <row r="140" spans="1:13" x14ac:dyDescent="0.25">
      <c r="A140" s="2" t="s">
        <v>334</v>
      </c>
      <c r="B140" s="2" t="s">
        <v>335</v>
      </c>
      <c r="C140" s="2" t="s">
        <v>43</v>
      </c>
      <c r="D140">
        <v>53512.800000000003</v>
      </c>
      <c r="E140">
        <v>46734.6</v>
      </c>
      <c r="F140">
        <v>23387.7</v>
      </c>
      <c r="G140">
        <v>1926.58</v>
      </c>
      <c r="H140">
        <v>263.97000000000003</v>
      </c>
      <c r="I140">
        <v>21156.35</v>
      </c>
      <c r="J140">
        <v>0.45269136799999998</v>
      </c>
      <c r="K140">
        <v>297</v>
      </c>
      <c r="L140">
        <v>39</v>
      </c>
      <c r="M140">
        <v>0.13131313131313133</v>
      </c>
    </row>
    <row r="141" spans="1:13" x14ac:dyDescent="0.25">
      <c r="A141" s="2" t="s">
        <v>336</v>
      </c>
      <c r="B141" s="2" t="s">
        <v>337</v>
      </c>
      <c r="C141" s="2" t="s">
        <v>45</v>
      </c>
      <c r="D141">
        <v>53566</v>
      </c>
      <c r="E141">
        <v>44318</v>
      </c>
      <c r="F141">
        <v>21665.119999999999</v>
      </c>
      <c r="G141">
        <v>2173.7199999999998</v>
      </c>
      <c r="H141">
        <v>395.5</v>
      </c>
      <c r="I141">
        <v>20083.66</v>
      </c>
      <c r="J141">
        <v>0.45317162300000002</v>
      </c>
      <c r="K141">
        <v>326</v>
      </c>
      <c r="L141">
        <v>58</v>
      </c>
      <c r="M141">
        <v>0.17791411042944785</v>
      </c>
    </row>
    <row r="142" spans="1:13" x14ac:dyDescent="0.25">
      <c r="A142" s="2" t="s">
        <v>338</v>
      </c>
      <c r="B142" s="2" t="s">
        <v>339</v>
      </c>
      <c r="C142" s="2" t="s">
        <v>45</v>
      </c>
      <c r="D142">
        <v>109472</v>
      </c>
      <c r="E142">
        <v>93420</v>
      </c>
      <c r="F142">
        <v>48259.05</v>
      </c>
      <c r="G142">
        <v>2332.06</v>
      </c>
      <c r="H142">
        <v>385.92</v>
      </c>
      <c r="I142">
        <v>42442.97</v>
      </c>
      <c r="J142">
        <v>0.45432423500000002</v>
      </c>
      <c r="K142">
        <v>335</v>
      </c>
      <c r="L142">
        <v>50</v>
      </c>
      <c r="M142">
        <v>0.14925373134328357</v>
      </c>
    </row>
    <row r="143" spans="1:13" x14ac:dyDescent="0.25">
      <c r="A143" s="2" t="s">
        <v>340</v>
      </c>
      <c r="B143" s="2" t="s">
        <v>341</v>
      </c>
      <c r="C143" s="2" t="s">
        <v>46</v>
      </c>
      <c r="D143">
        <v>22332.6</v>
      </c>
      <c r="E143">
        <v>18578.7</v>
      </c>
      <c r="F143">
        <v>7950.6</v>
      </c>
      <c r="G143">
        <v>1820.53</v>
      </c>
      <c r="H143">
        <v>354.16</v>
      </c>
      <c r="I143">
        <v>8453.41</v>
      </c>
      <c r="J143">
        <v>0.455005463</v>
      </c>
      <c r="K143">
        <v>304</v>
      </c>
      <c r="L143">
        <v>52</v>
      </c>
      <c r="M143">
        <v>0.17105263157894737</v>
      </c>
    </row>
    <row r="144" spans="1:13" x14ac:dyDescent="0.25">
      <c r="A144" s="2" t="s">
        <v>342</v>
      </c>
      <c r="B144" s="2" t="s">
        <v>343</v>
      </c>
      <c r="C144" s="2" t="s">
        <v>44</v>
      </c>
      <c r="D144">
        <v>43763.4</v>
      </c>
      <c r="E144">
        <v>36786.6</v>
      </c>
      <c r="F144">
        <v>17712.37</v>
      </c>
      <c r="G144">
        <v>1946.62</v>
      </c>
      <c r="H144">
        <v>333.64</v>
      </c>
      <c r="I144">
        <v>16793.97</v>
      </c>
      <c r="J144">
        <v>0.45652411500000001</v>
      </c>
      <c r="K144">
        <v>295</v>
      </c>
      <c r="L144">
        <v>48</v>
      </c>
      <c r="M144">
        <v>0.16271186440677965</v>
      </c>
    </row>
    <row r="145" spans="1:13" x14ac:dyDescent="0.25">
      <c r="A145" s="2" t="s">
        <v>344</v>
      </c>
      <c r="B145" s="2" t="s">
        <v>345</v>
      </c>
      <c r="C145" s="2" t="s">
        <v>45</v>
      </c>
      <c r="D145">
        <v>69810</v>
      </c>
      <c r="E145">
        <v>60678</v>
      </c>
      <c r="F145">
        <v>30635.01</v>
      </c>
      <c r="G145">
        <v>1899.72</v>
      </c>
      <c r="H145">
        <v>348.21</v>
      </c>
      <c r="I145">
        <v>27795.06</v>
      </c>
      <c r="J145">
        <v>0.458074755</v>
      </c>
      <c r="K145">
        <v>281</v>
      </c>
      <c r="L145">
        <v>38</v>
      </c>
      <c r="M145">
        <v>0.13523131672597866</v>
      </c>
    </row>
    <row r="146" spans="1:13" x14ac:dyDescent="0.25">
      <c r="A146" s="2" t="s">
        <v>346</v>
      </c>
      <c r="B146" s="2" t="s">
        <v>347</v>
      </c>
      <c r="C146" s="2" t="s">
        <v>43</v>
      </c>
      <c r="D146">
        <v>71246</v>
      </c>
      <c r="E146">
        <v>61012</v>
      </c>
      <c r="F146">
        <v>30703.78</v>
      </c>
      <c r="G146">
        <v>2042.33</v>
      </c>
      <c r="H146">
        <v>246.62</v>
      </c>
      <c r="I146">
        <v>28019.27</v>
      </c>
      <c r="J146">
        <v>0.45924195200000001</v>
      </c>
      <c r="K146">
        <v>308</v>
      </c>
      <c r="L146">
        <v>46</v>
      </c>
      <c r="M146">
        <v>0.14935064935064934</v>
      </c>
    </row>
    <row r="147" spans="1:13" x14ac:dyDescent="0.25">
      <c r="A147" s="2" t="s">
        <v>348</v>
      </c>
      <c r="B147" s="2" t="s">
        <v>349</v>
      </c>
      <c r="C147" s="2" t="s">
        <v>42</v>
      </c>
      <c r="D147">
        <v>145222</v>
      </c>
      <c r="E147">
        <v>126742</v>
      </c>
      <c r="F147">
        <v>65998.8</v>
      </c>
      <c r="G147">
        <v>2268.4899999999998</v>
      </c>
      <c r="H147">
        <v>251.56</v>
      </c>
      <c r="I147">
        <v>58223.15</v>
      </c>
      <c r="J147">
        <v>0.459383235</v>
      </c>
      <c r="K147">
        <v>322</v>
      </c>
      <c r="L147">
        <v>42</v>
      </c>
      <c r="M147">
        <v>0.13043478260869565</v>
      </c>
    </row>
    <row r="148" spans="1:13" x14ac:dyDescent="0.25">
      <c r="A148" s="2" t="s">
        <v>350</v>
      </c>
      <c r="B148" s="2" t="s">
        <v>351</v>
      </c>
      <c r="C148" s="2" t="s">
        <v>46</v>
      </c>
      <c r="D148">
        <v>47534.400000000001</v>
      </c>
      <c r="E148">
        <v>41344.199999999997</v>
      </c>
      <c r="F148">
        <v>19963.64</v>
      </c>
      <c r="G148">
        <v>1962.86</v>
      </c>
      <c r="H148">
        <v>306.60000000000002</v>
      </c>
      <c r="I148">
        <v>19111.099999999999</v>
      </c>
      <c r="J148">
        <v>0.46224379700000001</v>
      </c>
      <c r="K148">
        <v>317</v>
      </c>
      <c r="L148">
        <v>43</v>
      </c>
      <c r="M148">
        <v>0.13564668769716087</v>
      </c>
    </row>
    <row r="149" spans="1:13" x14ac:dyDescent="0.25">
      <c r="A149" s="2" t="s">
        <v>352</v>
      </c>
      <c r="B149" s="2" t="s">
        <v>353</v>
      </c>
      <c r="C149" s="2" t="s">
        <v>44</v>
      </c>
      <c r="D149">
        <v>56595</v>
      </c>
      <c r="E149">
        <v>47036</v>
      </c>
      <c r="F149">
        <v>22482.2</v>
      </c>
      <c r="G149">
        <v>2089.42</v>
      </c>
      <c r="H149">
        <v>475.3</v>
      </c>
      <c r="I149">
        <v>21989.08</v>
      </c>
      <c r="J149">
        <v>0.46749468500000002</v>
      </c>
      <c r="K149">
        <v>315</v>
      </c>
      <c r="L149">
        <v>55</v>
      </c>
      <c r="M149">
        <v>0.17460317460317459</v>
      </c>
    </row>
    <row r="150" spans="1:13" x14ac:dyDescent="0.25">
      <c r="A150" s="2" t="s">
        <v>354</v>
      </c>
      <c r="B150" s="2" t="s">
        <v>355</v>
      </c>
      <c r="C150" s="2" t="s">
        <v>48</v>
      </c>
      <c r="D150">
        <v>24992</v>
      </c>
      <c r="E150">
        <v>21121</v>
      </c>
      <c r="F150">
        <v>8672.84</v>
      </c>
      <c r="G150">
        <v>2139.09</v>
      </c>
      <c r="H150">
        <v>409.7</v>
      </c>
      <c r="I150">
        <v>9899.3700000000008</v>
      </c>
      <c r="J150">
        <v>0.46869797800000002</v>
      </c>
      <c r="K150">
        <v>302</v>
      </c>
      <c r="L150">
        <v>49</v>
      </c>
      <c r="M150">
        <v>0.16225165562913907</v>
      </c>
    </row>
    <row r="151" spans="1:13" x14ac:dyDescent="0.25">
      <c r="A151" s="2" t="s">
        <v>356</v>
      </c>
      <c r="B151" s="2" t="s">
        <v>357</v>
      </c>
      <c r="C151" s="2" t="s">
        <v>46</v>
      </c>
      <c r="D151">
        <v>40285.5</v>
      </c>
      <c r="E151">
        <v>34653</v>
      </c>
      <c r="F151">
        <v>15977.66</v>
      </c>
      <c r="G151">
        <v>2042.45</v>
      </c>
      <c r="H151">
        <v>360.22</v>
      </c>
      <c r="I151">
        <v>16272.67</v>
      </c>
      <c r="J151">
        <v>0.46958906900000003</v>
      </c>
      <c r="K151">
        <v>328</v>
      </c>
      <c r="L151">
        <v>47</v>
      </c>
      <c r="M151">
        <v>0.14329268292682926</v>
      </c>
    </row>
    <row r="152" spans="1:13" x14ac:dyDescent="0.25">
      <c r="A152" s="2" t="s">
        <v>358</v>
      </c>
      <c r="B152" s="2" t="s">
        <v>359</v>
      </c>
      <c r="C152" s="2" t="s">
        <v>43</v>
      </c>
      <c r="D152">
        <v>54588.6</v>
      </c>
      <c r="E152">
        <v>48633.2</v>
      </c>
      <c r="F152">
        <v>23644.74</v>
      </c>
      <c r="G152">
        <v>1847.05</v>
      </c>
      <c r="H152">
        <v>263.98</v>
      </c>
      <c r="I152">
        <v>22877.43</v>
      </c>
      <c r="J152">
        <v>0.470407664</v>
      </c>
      <c r="K152">
        <v>300</v>
      </c>
      <c r="L152">
        <v>34</v>
      </c>
      <c r="M152">
        <v>0.11333333333333333</v>
      </c>
    </row>
    <row r="153" spans="1:13" x14ac:dyDescent="0.25">
      <c r="A153" s="2" t="s">
        <v>360</v>
      </c>
      <c r="B153" s="2" t="s">
        <v>361</v>
      </c>
      <c r="C153" s="2" t="s">
        <v>43</v>
      </c>
      <c r="D153">
        <v>64446.8</v>
      </c>
      <c r="E153">
        <v>55710.6</v>
      </c>
      <c r="F153">
        <v>26624.61</v>
      </c>
      <c r="G153">
        <v>2466.06</v>
      </c>
      <c r="H153">
        <v>394.83</v>
      </c>
      <c r="I153">
        <v>26225.1</v>
      </c>
      <c r="J153">
        <v>0.47073806400000001</v>
      </c>
      <c r="K153">
        <v>353</v>
      </c>
      <c r="L153">
        <v>50</v>
      </c>
      <c r="M153">
        <v>0.14164305949008499</v>
      </c>
    </row>
    <row r="154" spans="1:13" x14ac:dyDescent="0.25">
      <c r="A154" s="2" t="s">
        <v>362</v>
      </c>
      <c r="B154" s="2" t="s">
        <v>363</v>
      </c>
      <c r="C154" s="2" t="s">
        <v>42</v>
      </c>
      <c r="D154">
        <v>109458</v>
      </c>
      <c r="E154">
        <v>97371</v>
      </c>
      <c r="F154">
        <v>48768.09</v>
      </c>
      <c r="G154">
        <v>1978</v>
      </c>
      <c r="H154">
        <v>243.8</v>
      </c>
      <c r="I154">
        <v>46381.11</v>
      </c>
      <c r="J154">
        <v>0.47633391899999999</v>
      </c>
      <c r="K154">
        <v>297</v>
      </c>
      <c r="L154">
        <v>34</v>
      </c>
      <c r="M154">
        <v>0.11447811447811448</v>
      </c>
    </row>
    <row r="155" spans="1:13" x14ac:dyDescent="0.25">
      <c r="A155" s="2" t="s">
        <v>364</v>
      </c>
      <c r="B155" s="2" t="s">
        <v>365</v>
      </c>
      <c r="C155" s="2" t="s">
        <v>43</v>
      </c>
      <c r="D155">
        <v>70319.199999999997</v>
      </c>
      <c r="E155">
        <v>56207.199999999997</v>
      </c>
      <c r="F155">
        <v>26727.759999999998</v>
      </c>
      <c r="G155">
        <v>2165.52</v>
      </c>
      <c r="H155">
        <v>448.14</v>
      </c>
      <c r="I155">
        <v>26865.78</v>
      </c>
      <c r="J155">
        <v>0.47797755400000003</v>
      </c>
      <c r="K155">
        <v>307</v>
      </c>
      <c r="L155">
        <v>63</v>
      </c>
      <c r="M155">
        <v>0.20521172638436483</v>
      </c>
    </row>
    <row r="156" spans="1:13" x14ac:dyDescent="0.25">
      <c r="A156" s="2" t="s">
        <v>366</v>
      </c>
      <c r="B156" s="2" t="s">
        <v>367</v>
      </c>
      <c r="C156" s="2" t="s">
        <v>44</v>
      </c>
      <c r="D156">
        <v>25635.599999999999</v>
      </c>
      <c r="E156">
        <v>21488.400000000001</v>
      </c>
      <c r="F156">
        <v>8520.2000000000007</v>
      </c>
      <c r="G156">
        <v>2275.9699999999998</v>
      </c>
      <c r="H156">
        <v>393.91</v>
      </c>
      <c r="I156">
        <v>10298.32</v>
      </c>
      <c r="J156">
        <v>0.47925020000000002</v>
      </c>
      <c r="K156">
        <v>347</v>
      </c>
      <c r="L156">
        <v>57</v>
      </c>
      <c r="M156">
        <v>0.16426512968299711</v>
      </c>
    </row>
    <row r="157" spans="1:13" x14ac:dyDescent="0.25">
      <c r="A157" s="2" t="s">
        <v>368</v>
      </c>
      <c r="B157" s="2" t="s">
        <v>369</v>
      </c>
      <c r="C157" s="2" t="s">
        <v>42</v>
      </c>
      <c r="D157">
        <v>149187.5</v>
      </c>
      <c r="E157">
        <v>127985</v>
      </c>
      <c r="F157">
        <v>63455.42</v>
      </c>
      <c r="G157">
        <v>2162.5300000000002</v>
      </c>
      <c r="H157">
        <v>291.8</v>
      </c>
      <c r="I157">
        <v>62075.25</v>
      </c>
      <c r="J157">
        <v>0.48501972900000001</v>
      </c>
      <c r="K157">
        <v>329</v>
      </c>
      <c r="L157">
        <v>48</v>
      </c>
      <c r="M157">
        <v>0.1458966565349544</v>
      </c>
    </row>
    <row r="158" spans="1:13" x14ac:dyDescent="0.25">
      <c r="A158" s="2" t="s">
        <v>370</v>
      </c>
      <c r="B158" s="2" t="s">
        <v>371</v>
      </c>
      <c r="C158" s="2" t="s">
        <v>43</v>
      </c>
      <c r="D158">
        <v>56768.800000000003</v>
      </c>
      <c r="E158">
        <v>51288.6</v>
      </c>
      <c r="F158">
        <v>23942.85</v>
      </c>
      <c r="G158">
        <v>2253.3000000000002</v>
      </c>
      <c r="H158">
        <v>209.75</v>
      </c>
      <c r="I158">
        <v>24882.7</v>
      </c>
      <c r="J158">
        <v>0.48515069599999999</v>
      </c>
      <c r="K158">
        <v>316</v>
      </c>
      <c r="L158">
        <v>31</v>
      </c>
      <c r="M158">
        <v>9.8101265822784806E-2</v>
      </c>
    </row>
    <row r="159" spans="1:13" x14ac:dyDescent="0.25">
      <c r="A159" s="2" t="s">
        <v>372</v>
      </c>
      <c r="B159" s="2" t="s">
        <v>373</v>
      </c>
      <c r="C159" s="2" t="s">
        <v>47</v>
      </c>
      <c r="D159">
        <v>33447.599999999999</v>
      </c>
      <c r="E159">
        <v>28941.599999999999</v>
      </c>
      <c r="F159">
        <v>12100.48</v>
      </c>
      <c r="G159">
        <v>2367.9299999999998</v>
      </c>
      <c r="H159">
        <v>425.13</v>
      </c>
      <c r="I159">
        <v>14048.06</v>
      </c>
      <c r="J159">
        <v>0.485393344</v>
      </c>
      <c r="K159">
        <v>339</v>
      </c>
      <c r="L159">
        <v>47</v>
      </c>
      <c r="M159">
        <v>0.13864306784660768</v>
      </c>
    </row>
    <row r="160" spans="1:13" x14ac:dyDescent="0.25">
      <c r="A160" s="2" t="s">
        <v>374</v>
      </c>
      <c r="B160" s="2" t="s">
        <v>375</v>
      </c>
      <c r="C160" s="2" t="s">
        <v>46</v>
      </c>
      <c r="D160">
        <v>29264.400000000001</v>
      </c>
      <c r="E160">
        <v>24354</v>
      </c>
      <c r="F160">
        <v>10211.459999999999</v>
      </c>
      <c r="G160">
        <v>1938.89</v>
      </c>
      <c r="H160">
        <v>354.97</v>
      </c>
      <c r="I160">
        <v>11848.68</v>
      </c>
      <c r="J160">
        <v>0.48651884699999998</v>
      </c>
      <c r="K160">
        <v>297</v>
      </c>
      <c r="L160">
        <v>51</v>
      </c>
      <c r="M160">
        <v>0.17171717171717171</v>
      </c>
    </row>
    <row r="161" spans="1:13" x14ac:dyDescent="0.25">
      <c r="A161" s="2" t="s">
        <v>376</v>
      </c>
      <c r="B161" s="2" t="s">
        <v>377</v>
      </c>
      <c r="C161" s="2" t="s">
        <v>48</v>
      </c>
      <c r="D161">
        <v>38974.5</v>
      </c>
      <c r="E161">
        <v>33010.5</v>
      </c>
      <c r="F161">
        <v>14421.09</v>
      </c>
      <c r="G161">
        <v>2043.72</v>
      </c>
      <c r="H161">
        <v>338.31</v>
      </c>
      <c r="I161">
        <v>16207.38</v>
      </c>
      <c r="J161">
        <v>0.49097650700000001</v>
      </c>
      <c r="K161">
        <v>318</v>
      </c>
      <c r="L161">
        <v>49</v>
      </c>
      <c r="M161">
        <v>0.1540880503144654</v>
      </c>
    </row>
    <row r="162" spans="1:13" x14ac:dyDescent="0.25">
      <c r="A162" s="2" t="s">
        <v>378</v>
      </c>
      <c r="B162" s="2" t="s">
        <v>379</v>
      </c>
      <c r="C162" s="2" t="s">
        <v>44</v>
      </c>
      <c r="D162">
        <v>55818.400000000001</v>
      </c>
      <c r="E162">
        <v>47209.8</v>
      </c>
      <c r="F162">
        <v>21464.639999999999</v>
      </c>
      <c r="G162">
        <v>2135.5700000000002</v>
      </c>
      <c r="H162">
        <v>317.99</v>
      </c>
      <c r="I162">
        <v>23291.599999999999</v>
      </c>
      <c r="J162">
        <v>0.49336366599999998</v>
      </c>
      <c r="K162">
        <v>310</v>
      </c>
      <c r="L162">
        <v>49</v>
      </c>
      <c r="M162">
        <v>0.15806451612903225</v>
      </c>
    </row>
    <row r="163" spans="1:13" x14ac:dyDescent="0.25">
      <c r="A163" s="2" t="s">
        <v>380</v>
      </c>
      <c r="B163" s="2" t="s">
        <v>381</v>
      </c>
      <c r="C163" s="2" t="s">
        <v>46</v>
      </c>
      <c r="D163">
        <v>29289.599999999999</v>
      </c>
      <c r="E163">
        <v>25782</v>
      </c>
      <c r="F163">
        <v>10933</v>
      </c>
      <c r="G163">
        <v>1821.39</v>
      </c>
      <c r="H163">
        <v>252.09</v>
      </c>
      <c r="I163">
        <v>12775.52</v>
      </c>
      <c r="J163">
        <v>0.49552090599999998</v>
      </c>
      <c r="K163">
        <v>297</v>
      </c>
      <c r="L163">
        <v>37</v>
      </c>
      <c r="M163">
        <v>0.12457912457912458</v>
      </c>
    </row>
    <row r="164" spans="1:13" x14ac:dyDescent="0.25">
      <c r="A164" s="2" t="s">
        <v>382</v>
      </c>
      <c r="B164" s="2" t="s">
        <v>383</v>
      </c>
      <c r="C164" s="2" t="s">
        <v>44</v>
      </c>
      <c r="D164">
        <v>54056.2</v>
      </c>
      <c r="E164">
        <v>44926.2</v>
      </c>
      <c r="F164">
        <v>20031.78</v>
      </c>
      <c r="G164">
        <v>1936.28</v>
      </c>
      <c r="H164">
        <v>385.91</v>
      </c>
      <c r="I164">
        <v>22572.23</v>
      </c>
      <c r="J164">
        <v>0.50242909499999999</v>
      </c>
      <c r="K164">
        <v>298</v>
      </c>
      <c r="L164">
        <v>52</v>
      </c>
      <c r="M164">
        <v>0.17449664429530201</v>
      </c>
    </row>
    <row r="165" spans="1:13" x14ac:dyDescent="0.25">
      <c r="A165" s="2" t="s">
        <v>384</v>
      </c>
      <c r="B165" s="2" t="s">
        <v>385</v>
      </c>
      <c r="C165" s="2" t="s">
        <v>44</v>
      </c>
      <c r="D165">
        <v>67561.2</v>
      </c>
      <c r="E165">
        <v>56988.4</v>
      </c>
      <c r="F165">
        <v>26016.51</v>
      </c>
      <c r="G165">
        <v>1959.04</v>
      </c>
      <c r="H165">
        <v>310.52</v>
      </c>
      <c r="I165">
        <v>28702.33</v>
      </c>
      <c r="J165">
        <v>0.50365214700000005</v>
      </c>
      <c r="K165">
        <v>294</v>
      </c>
      <c r="L165">
        <v>47</v>
      </c>
      <c r="M165">
        <v>0.1598639455782313</v>
      </c>
    </row>
    <row r="166" spans="1:13" x14ac:dyDescent="0.25">
      <c r="A166" s="2" t="s">
        <v>386</v>
      </c>
      <c r="B166" s="2" t="s">
        <v>387</v>
      </c>
      <c r="C166" s="2" t="s">
        <v>44</v>
      </c>
      <c r="D166">
        <v>44163</v>
      </c>
      <c r="E166">
        <v>38356.5</v>
      </c>
      <c r="F166">
        <v>16465.68</v>
      </c>
      <c r="G166">
        <v>2185.9499999999998</v>
      </c>
      <c r="H166">
        <v>355.28</v>
      </c>
      <c r="I166">
        <v>19349.59</v>
      </c>
      <c r="J166">
        <v>0.50446703900000001</v>
      </c>
      <c r="K166">
        <v>357</v>
      </c>
      <c r="L166">
        <v>49</v>
      </c>
      <c r="M166">
        <v>0.13725490196078433</v>
      </c>
    </row>
    <row r="167" spans="1:13" x14ac:dyDescent="0.25">
      <c r="A167" s="2" t="s">
        <v>388</v>
      </c>
      <c r="B167" s="2" t="s">
        <v>389</v>
      </c>
      <c r="C167" s="2" t="s">
        <v>49</v>
      </c>
      <c r="D167">
        <v>27147.599999999999</v>
      </c>
      <c r="E167">
        <v>22666.799999999999</v>
      </c>
      <c r="F167">
        <v>8992.83</v>
      </c>
      <c r="G167">
        <v>1902.81</v>
      </c>
      <c r="H167">
        <v>329.36</v>
      </c>
      <c r="I167">
        <v>11441.8</v>
      </c>
      <c r="J167">
        <v>0.50478232499999998</v>
      </c>
      <c r="K167">
        <v>276</v>
      </c>
      <c r="L167">
        <v>47</v>
      </c>
      <c r="M167">
        <v>0.17028985507246377</v>
      </c>
    </row>
    <row r="168" spans="1:13" x14ac:dyDescent="0.25">
      <c r="A168" s="2" t="s">
        <v>390</v>
      </c>
      <c r="B168" s="2" t="s">
        <v>391</v>
      </c>
      <c r="C168" s="2" t="s">
        <v>44</v>
      </c>
      <c r="D168">
        <v>39676.5</v>
      </c>
      <c r="E168">
        <v>34336.5</v>
      </c>
      <c r="F168">
        <v>14262.73</v>
      </c>
      <c r="G168">
        <v>2303.8000000000002</v>
      </c>
      <c r="H168">
        <v>351.71</v>
      </c>
      <c r="I168">
        <v>17418.259999999998</v>
      </c>
      <c r="J168">
        <v>0.50728117299999997</v>
      </c>
      <c r="K168">
        <v>321</v>
      </c>
      <c r="L168">
        <v>44</v>
      </c>
      <c r="M168">
        <v>0.13707165109034267</v>
      </c>
    </row>
    <row r="169" spans="1:13" x14ac:dyDescent="0.25">
      <c r="A169" s="2" t="s">
        <v>392</v>
      </c>
      <c r="B169" s="2" t="s">
        <v>393</v>
      </c>
      <c r="C169" s="2" t="s">
        <v>45</v>
      </c>
      <c r="D169">
        <v>60810</v>
      </c>
      <c r="E169">
        <v>53502.5</v>
      </c>
      <c r="F169">
        <v>24018.799999999999</v>
      </c>
      <c r="G169">
        <v>2044.66</v>
      </c>
      <c r="H169">
        <v>271.79000000000002</v>
      </c>
      <c r="I169">
        <v>27167.25</v>
      </c>
      <c r="J169">
        <v>0.50777533799999996</v>
      </c>
      <c r="K169">
        <v>297</v>
      </c>
      <c r="L169">
        <v>37</v>
      </c>
      <c r="M169">
        <v>0.12457912457912458</v>
      </c>
    </row>
    <row r="170" spans="1:13" x14ac:dyDescent="0.25">
      <c r="A170" s="2" t="s">
        <v>394</v>
      </c>
      <c r="B170" s="2" t="s">
        <v>395</v>
      </c>
      <c r="C170" s="2" t="s">
        <v>43</v>
      </c>
      <c r="D170">
        <v>40957.5</v>
      </c>
      <c r="E170">
        <v>34282.5</v>
      </c>
      <c r="F170">
        <v>14112</v>
      </c>
      <c r="G170">
        <v>2323.7199999999998</v>
      </c>
      <c r="H170">
        <v>404.81</v>
      </c>
      <c r="I170">
        <v>17441.97</v>
      </c>
      <c r="J170">
        <v>0.50877182200000004</v>
      </c>
      <c r="K170">
        <v>335</v>
      </c>
      <c r="L170">
        <v>55</v>
      </c>
      <c r="M170">
        <v>0.16417910447761194</v>
      </c>
    </row>
    <row r="171" spans="1:13" x14ac:dyDescent="0.25">
      <c r="A171" s="2" t="s">
        <v>396</v>
      </c>
      <c r="B171" s="2" t="s">
        <v>397</v>
      </c>
      <c r="C171" s="2" t="s">
        <v>45</v>
      </c>
      <c r="D171">
        <v>71061</v>
      </c>
      <c r="E171">
        <v>59844</v>
      </c>
      <c r="F171">
        <v>26910.76</v>
      </c>
      <c r="G171">
        <v>1876.45</v>
      </c>
      <c r="H171">
        <v>327.49</v>
      </c>
      <c r="I171">
        <v>30729.3</v>
      </c>
      <c r="J171">
        <v>0.51349007400000002</v>
      </c>
      <c r="K171">
        <v>290</v>
      </c>
      <c r="L171">
        <v>46</v>
      </c>
      <c r="M171">
        <v>0.15862068965517243</v>
      </c>
    </row>
    <row r="172" spans="1:13" x14ac:dyDescent="0.25">
      <c r="A172" s="2" t="s">
        <v>398</v>
      </c>
      <c r="B172" s="2" t="s">
        <v>399</v>
      </c>
      <c r="C172" s="2" t="s">
        <v>42</v>
      </c>
      <c r="D172">
        <v>118462.5</v>
      </c>
      <c r="E172">
        <v>98982</v>
      </c>
      <c r="F172">
        <v>45488.79</v>
      </c>
      <c r="G172">
        <v>2086.3000000000002</v>
      </c>
      <c r="H172">
        <v>386.14</v>
      </c>
      <c r="I172">
        <v>51020.77</v>
      </c>
      <c r="J172">
        <v>0.51545503199999998</v>
      </c>
      <c r="K172">
        <v>321</v>
      </c>
      <c r="L172">
        <v>54</v>
      </c>
      <c r="M172">
        <v>0.16822429906542055</v>
      </c>
    </row>
    <row r="173" spans="1:13" x14ac:dyDescent="0.25">
      <c r="A173" s="2" t="s">
        <v>400</v>
      </c>
      <c r="B173" s="2" t="s">
        <v>401</v>
      </c>
      <c r="C173" s="2" t="s">
        <v>42</v>
      </c>
      <c r="D173">
        <v>107257.5</v>
      </c>
      <c r="E173">
        <v>93393</v>
      </c>
      <c r="F173">
        <v>42692.1</v>
      </c>
      <c r="G173">
        <v>2072.94</v>
      </c>
      <c r="H173">
        <v>320.57</v>
      </c>
      <c r="I173">
        <v>48307.39</v>
      </c>
      <c r="J173">
        <v>0.51724850899999997</v>
      </c>
      <c r="K173">
        <v>294</v>
      </c>
      <c r="L173">
        <v>39</v>
      </c>
      <c r="M173">
        <v>0.1326530612244898</v>
      </c>
    </row>
    <row r="174" spans="1:13" x14ac:dyDescent="0.25">
      <c r="A174" s="2" t="s">
        <v>402</v>
      </c>
      <c r="B174" s="2" t="s">
        <v>403</v>
      </c>
      <c r="C174" s="2" t="s">
        <v>45</v>
      </c>
      <c r="D174">
        <v>35830.5</v>
      </c>
      <c r="E174">
        <v>31296</v>
      </c>
      <c r="F174">
        <v>12837.16</v>
      </c>
      <c r="G174">
        <v>1921.74</v>
      </c>
      <c r="H174">
        <v>322.93</v>
      </c>
      <c r="I174">
        <v>16214.17</v>
      </c>
      <c r="J174">
        <v>0.51809081000000001</v>
      </c>
      <c r="K174">
        <v>292</v>
      </c>
      <c r="L174">
        <v>38</v>
      </c>
      <c r="M174">
        <v>0.13013698630136986</v>
      </c>
    </row>
    <row r="175" spans="1:13" x14ac:dyDescent="0.25">
      <c r="A175" s="2" t="s">
        <v>404</v>
      </c>
      <c r="B175" s="2" t="s">
        <v>405</v>
      </c>
      <c r="C175" s="2" t="s">
        <v>44</v>
      </c>
      <c r="D175">
        <v>78075.199999999997</v>
      </c>
      <c r="E175">
        <v>65335.199999999997</v>
      </c>
      <c r="F175">
        <v>28745.1</v>
      </c>
      <c r="G175">
        <v>2228.42</v>
      </c>
      <c r="H175">
        <v>367.12</v>
      </c>
      <c r="I175">
        <v>33994.559999999998</v>
      </c>
      <c r="J175">
        <v>0.52031003200000003</v>
      </c>
      <c r="K175">
        <v>341</v>
      </c>
      <c r="L175">
        <v>56</v>
      </c>
      <c r="M175">
        <v>0.16422287390029325</v>
      </c>
    </row>
    <row r="176" spans="1:13" x14ac:dyDescent="0.25">
      <c r="A176" s="2" t="s">
        <v>406</v>
      </c>
      <c r="B176" s="2" t="s">
        <v>407</v>
      </c>
      <c r="C176" s="2" t="s">
        <v>44</v>
      </c>
      <c r="D176">
        <v>46445.4</v>
      </c>
      <c r="E176">
        <v>39648.6</v>
      </c>
      <c r="F176">
        <v>16371.7</v>
      </c>
      <c r="G176">
        <v>2158.3000000000002</v>
      </c>
      <c r="H176">
        <v>411.62</v>
      </c>
      <c r="I176">
        <v>20706.98</v>
      </c>
      <c r="J176">
        <v>0.52226257700000001</v>
      </c>
      <c r="K176">
        <v>312</v>
      </c>
      <c r="L176">
        <v>47</v>
      </c>
      <c r="M176">
        <v>0.15064102564102563</v>
      </c>
    </row>
    <row r="177" spans="1:13" x14ac:dyDescent="0.25">
      <c r="A177" s="2" t="s">
        <v>408</v>
      </c>
      <c r="B177" s="2" t="s">
        <v>409</v>
      </c>
      <c r="C177" s="2" t="s">
        <v>44</v>
      </c>
      <c r="D177">
        <v>58368.2</v>
      </c>
      <c r="E177">
        <v>46503.6</v>
      </c>
      <c r="F177">
        <v>19507.38</v>
      </c>
      <c r="G177">
        <v>2201.16</v>
      </c>
      <c r="H177">
        <v>440.7</v>
      </c>
      <c r="I177">
        <v>24354.36</v>
      </c>
      <c r="J177">
        <v>0.52370913200000002</v>
      </c>
      <c r="K177">
        <v>326</v>
      </c>
      <c r="L177">
        <v>68</v>
      </c>
      <c r="M177">
        <v>0.20858895705521471</v>
      </c>
    </row>
    <row r="178" spans="1:13" x14ac:dyDescent="0.25">
      <c r="A178" s="2" t="s">
        <v>410</v>
      </c>
      <c r="B178" s="2" t="s">
        <v>411</v>
      </c>
      <c r="C178" s="2" t="s">
        <v>44</v>
      </c>
      <c r="D178">
        <v>78839.600000000006</v>
      </c>
      <c r="E178">
        <v>68045.600000000006</v>
      </c>
      <c r="F178">
        <v>29727.78</v>
      </c>
      <c r="G178">
        <v>2250.4899999999998</v>
      </c>
      <c r="H178">
        <v>323.26</v>
      </c>
      <c r="I178">
        <v>35744.07</v>
      </c>
      <c r="J178">
        <v>0.52529583099999999</v>
      </c>
      <c r="K178">
        <v>341</v>
      </c>
      <c r="L178">
        <v>48</v>
      </c>
      <c r="M178">
        <v>0.14076246334310852</v>
      </c>
    </row>
    <row r="179" spans="1:13" x14ac:dyDescent="0.25">
      <c r="A179" s="2" t="s">
        <v>412</v>
      </c>
      <c r="B179" s="2" t="s">
        <v>413</v>
      </c>
      <c r="C179" s="2" t="s">
        <v>44</v>
      </c>
      <c r="D179">
        <v>52621.8</v>
      </c>
      <c r="E179">
        <v>45148.4</v>
      </c>
      <c r="F179">
        <v>18827.509999999998</v>
      </c>
      <c r="G179">
        <v>1953.58</v>
      </c>
      <c r="H179">
        <v>293.73</v>
      </c>
      <c r="I179">
        <v>24073.58</v>
      </c>
      <c r="J179">
        <v>0.53321003600000005</v>
      </c>
      <c r="K179">
        <v>294</v>
      </c>
      <c r="L179">
        <v>43</v>
      </c>
      <c r="M179">
        <v>0.14625850340136054</v>
      </c>
    </row>
    <row r="180" spans="1:13" x14ac:dyDescent="0.25">
      <c r="A180" s="2" t="s">
        <v>414</v>
      </c>
      <c r="B180" s="2" t="s">
        <v>415</v>
      </c>
      <c r="C180" s="2" t="s">
        <v>43</v>
      </c>
      <c r="D180">
        <v>97002.5</v>
      </c>
      <c r="E180">
        <v>85169</v>
      </c>
      <c r="F180">
        <v>36984.15</v>
      </c>
      <c r="G180">
        <v>2226.4299999999998</v>
      </c>
      <c r="H180">
        <v>283.98</v>
      </c>
      <c r="I180">
        <v>45674.44</v>
      </c>
      <c r="J180">
        <v>0.53628010199999998</v>
      </c>
      <c r="K180">
        <v>337</v>
      </c>
      <c r="L180">
        <v>42</v>
      </c>
      <c r="M180">
        <v>0.12462908011869436</v>
      </c>
    </row>
    <row r="181" spans="1:13" x14ac:dyDescent="0.25">
      <c r="A181" s="2" t="s">
        <v>416</v>
      </c>
      <c r="B181" s="2" t="s">
        <v>417</v>
      </c>
      <c r="C181" s="2" t="s">
        <v>47</v>
      </c>
      <c r="D181">
        <v>37188</v>
      </c>
      <c r="E181">
        <v>32503.5</v>
      </c>
      <c r="F181">
        <v>12674.16</v>
      </c>
      <c r="G181">
        <v>2055.06</v>
      </c>
      <c r="H181">
        <v>318.16000000000003</v>
      </c>
      <c r="I181">
        <v>17456.12</v>
      </c>
      <c r="J181">
        <v>0.53705354800000005</v>
      </c>
      <c r="K181">
        <v>300</v>
      </c>
      <c r="L181">
        <v>39</v>
      </c>
      <c r="M181">
        <v>0.13</v>
      </c>
    </row>
    <row r="182" spans="1:13" x14ac:dyDescent="0.25">
      <c r="A182" s="2" t="s">
        <v>418</v>
      </c>
      <c r="B182" s="2" t="s">
        <v>419</v>
      </c>
      <c r="C182" s="2" t="s">
        <v>46</v>
      </c>
      <c r="D182">
        <v>43234.2</v>
      </c>
      <c r="E182">
        <v>36977.4</v>
      </c>
      <c r="F182">
        <v>14952.07</v>
      </c>
      <c r="G182">
        <v>1810.5</v>
      </c>
      <c r="H182">
        <v>261.5</v>
      </c>
      <c r="I182">
        <v>19953.330000000002</v>
      </c>
      <c r="J182">
        <v>0.53960878800000001</v>
      </c>
      <c r="K182">
        <v>295</v>
      </c>
      <c r="L182">
        <v>44</v>
      </c>
      <c r="M182">
        <v>0.14915254237288136</v>
      </c>
    </row>
    <row r="183" spans="1:13" x14ac:dyDescent="0.25">
      <c r="A183" s="2" t="s">
        <v>420</v>
      </c>
      <c r="B183" s="2" t="s">
        <v>421</v>
      </c>
      <c r="C183" s="2" t="s">
        <v>47</v>
      </c>
      <c r="D183">
        <v>40837.5</v>
      </c>
      <c r="E183">
        <v>34051.5</v>
      </c>
      <c r="F183">
        <v>13183.17</v>
      </c>
      <c r="G183">
        <v>2071.63</v>
      </c>
      <c r="H183">
        <v>414.58</v>
      </c>
      <c r="I183">
        <v>18382.12</v>
      </c>
      <c r="J183">
        <v>0.53983289999999995</v>
      </c>
      <c r="K183">
        <v>330</v>
      </c>
      <c r="L183">
        <v>57</v>
      </c>
      <c r="M183">
        <v>0.17272727272727273</v>
      </c>
    </row>
    <row r="184" spans="1:13" x14ac:dyDescent="0.25">
      <c r="A184" s="2" t="s">
        <v>422</v>
      </c>
      <c r="B184" s="2" t="s">
        <v>423</v>
      </c>
      <c r="C184" s="2" t="s">
        <v>42</v>
      </c>
      <c r="D184">
        <v>149594.5</v>
      </c>
      <c r="E184">
        <v>129057.5</v>
      </c>
      <c r="F184">
        <v>56754.559999999998</v>
      </c>
      <c r="G184">
        <v>2105.16</v>
      </c>
      <c r="H184">
        <v>329.71</v>
      </c>
      <c r="I184">
        <v>69868.070000000007</v>
      </c>
      <c r="J184">
        <v>0.54137163700000002</v>
      </c>
      <c r="K184">
        <v>331</v>
      </c>
      <c r="L184">
        <v>47</v>
      </c>
      <c r="M184">
        <v>0.1419939577039275</v>
      </c>
    </row>
    <row r="185" spans="1:13" x14ac:dyDescent="0.25">
      <c r="A185" s="2" t="s">
        <v>424</v>
      </c>
      <c r="B185" s="2" t="s">
        <v>425</v>
      </c>
      <c r="C185" s="2" t="s">
        <v>43</v>
      </c>
      <c r="D185">
        <v>38469</v>
      </c>
      <c r="E185">
        <v>32805</v>
      </c>
      <c r="F185">
        <v>12378.12</v>
      </c>
      <c r="G185">
        <v>2189.6</v>
      </c>
      <c r="H185">
        <v>334.52</v>
      </c>
      <c r="I185">
        <v>17902.759999999998</v>
      </c>
      <c r="J185">
        <v>0.54573266300000001</v>
      </c>
      <c r="K185">
        <v>314</v>
      </c>
      <c r="L185">
        <v>47</v>
      </c>
      <c r="M185">
        <v>0.14968152866242038</v>
      </c>
    </row>
    <row r="186" spans="1:13" x14ac:dyDescent="0.25">
      <c r="A186" s="2" t="s">
        <v>426</v>
      </c>
      <c r="B186" s="2" t="s">
        <v>427</v>
      </c>
      <c r="C186" s="2" t="s">
        <v>45</v>
      </c>
      <c r="D186">
        <v>52902</v>
      </c>
      <c r="E186">
        <v>44876</v>
      </c>
      <c r="F186">
        <v>17829.09</v>
      </c>
      <c r="G186">
        <v>2163.39</v>
      </c>
      <c r="H186">
        <v>379.25</v>
      </c>
      <c r="I186">
        <v>24504.27</v>
      </c>
      <c r="J186">
        <v>0.54604398799999998</v>
      </c>
      <c r="K186">
        <v>321</v>
      </c>
      <c r="L186">
        <v>50</v>
      </c>
      <c r="M186">
        <v>0.1557632398753894</v>
      </c>
    </row>
    <row r="187" spans="1:13" x14ac:dyDescent="0.25">
      <c r="A187" s="2" t="s">
        <v>428</v>
      </c>
      <c r="B187" s="2" t="s">
        <v>429</v>
      </c>
      <c r="C187" s="2" t="s">
        <v>46</v>
      </c>
      <c r="D187">
        <v>53177.4</v>
      </c>
      <c r="E187">
        <v>44494.2</v>
      </c>
      <c r="F187">
        <v>17096.22</v>
      </c>
      <c r="G187">
        <v>2387.5300000000002</v>
      </c>
      <c r="H187">
        <v>423.76</v>
      </c>
      <c r="I187">
        <v>24586.69</v>
      </c>
      <c r="J187">
        <v>0.55258191000000001</v>
      </c>
      <c r="K187">
        <v>362</v>
      </c>
      <c r="L187">
        <v>60</v>
      </c>
      <c r="M187">
        <v>0.16574585635359115</v>
      </c>
    </row>
    <row r="188" spans="1:13" x14ac:dyDescent="0.25">
      <c r="A188" s="2" t="s">
        <v>430</v>
      </c>
      <c r="B188" s="2" t="s">
        <v>431</v>
      </c>
      <c r="C188" s="2" t="s">
        <v>43</v>
      </c>
      <c r="D188">
        <v>38287.5</v>
      </c>
      <c r="E188">
        <v>33784.5</v>
      </c>
      <c r="F188">
        <v>12630.75</v>
      </c>
      <c r="G188">
        <v>2175.1</v>
      </c>
      <c r="H188">
        <v>298.18</v>
      </c>
      <c r="I188">
        <v>18680.47</v>
      </c>
      <c r="J188">
        <v>0.55293018999999999</v>
      </c>
      <c r="K188">
        <v>313</v>
      </c>
      <c r="L188">
        <v>38</v>
      </c>
      <c r="M188">
        <v>0.12140575079872204</v>
      </c>
    </row>
    <row r="189" spans="1:13" x14ac:dyDescent="0.25">
      <c r="A189" s="2" t="s">
        <v>432</v>
      </c>
      <c r="B189" s="2" t="s">
        <v>433</v>
      </c>
      <c r="C189" s="2" t="s">
        <v>44</v>
      </c>
      <c r="D189">
        <v>74256</v>
      </c>
      <c r="E189">
        <v>60424</v>
      </c>
      <c r="F189">
        <v>23873.439999999999</v>
      </c>
      <c r="G189">
        <v>2440.89</v>
      </c>
      <c r="H189">
        <v>492.69</v>
      </c>
      <c r="I189">
        <v>33616.980000000003</v>
      </c>
      <c r="J189">
        <v>0.55635144999999997</v>
      </c>
      <c r="K189">
        <v>324</v>
      </c>
      <c r="L189">
        <v>62</v>
      </c>
      <c r="M189">
        <v>0.19135802469135801</v>
      </c>
    </row>
    <row r="190" spans="1:13" x14ac:dyDescent="0.25">
      <c r="A190" s="2" t="s">
        <v>434</v>
      </c>
      <c r="B190" s="2" t="s">
        <v>435</v>
      </c>
      <c r="C190" s="2" t="s">
        <v>42</v>
      </c>
      <c r="D190">
        <v>131290.5</v>
      </c>
      <c r="E190">
        <v>110319</v>
      </c>
      <c r="F190">
        <v>46544.22</v>
      </c>
      <c r="G190">
        <v>2017.98</v>
      </c>
      <c r="H190">
        <v>372.67</v>
      </c>
      <c r="I190">
        <v>61384.13</v>
      </c>
      <c r="J190">
        <v>0.55642391599999996</v>
      </c>
      <c r="K190">
        <v>291</v>
      </c>
      <c r="L190">
        <v>48</v>
      </c>
      <c r="M190">
        <v>0.16494845360824742</v>
      </c>
    </row>
    <row r="191" spans="1:13" x14ac:dyDescent="0.25">
      <c r="A191" s="2" t="s">
        <v>436</v>
      </c>
      <c r="B191" s="2" t="s">
        <v>437</v>
      </c>
      <c r="C191" s="2" t="s">
        <v>42</v>
      </c>
      <c r="D191">
        <v>97520.5</v>
      </c>
      <c r="E191">
        <v>82792.5</v>
      </c>
      <c r="F191">
        <v>33865.919999999998</v>
      </c>
      <c r="G191">
        <v>2191.2800000000002</v>
      </c>
      <c r="H191">
        <v>400.96</v>
      </c>
      <c r="I191">
        <v>46334.34</v>
      </c>
      <c r="J191">
        <v>0.55964417099999997</v>
      </c>
      <c r="K191">
        <v>341</v>
      </c>
      <c r="L191">
        <v>53</v>
      </c>
      <c r="M191">
        <v>0.15542521994134897</v>
      </c>
    </row>
    <row r="192" spans="1:13" x14ac:dyDescent="0.25">
      <c r="A192" s="2" t="s">
        <v>438</v>
      </c>
      <c r="B192" s="2" t="s">
        <v>439</v>
      </c>
      <c r="C192" s="2" t="s">
        <v>45</v>
      </c>
      <c r="D192">
        <v>103740</v>
      </c>
      <c r="E192">
        <v>86360</v>
      </c>
      <c r="F192">
        <v>35503</v>
      </c>
      <c r="G192">
        <v>2066.56</v>
      </c>
      <c r="H192">
        <v>394.42</v>
      </c>
      <c r="I192">
        <v>48396.02</v>
      </c>
      <c r="J192">
        <v>0.56039856399999999</v>
      </c>
      <c r="K192">
        <v>315</v>
      </c>
      <c r="L192">
        <v>55</v>
      </c>
      <c r="M192">
        <v>0.17460317460317459</v>
      </c>
    </row>
    <row r="193" spans="1:13" x14ac:dyDescent="0.25">
      <c r="A193" s="2" t="s">
        <v>440</v>
      </c>
      <c r="B193" s="2" t="s">
        <v>441</v>
      </c>
      <c r="C193" s="2" t="s">
        <v>42</v>
      </c>
      <c r="D193">
        <v>98717.5</v>
      </c>
      <c r="E193">
        <v>84598.5</v>
      </c>
      <c r="F193">
        <v>34744.92</v>
      </c>
      <c r="G193">
        <v>1950.08</v>
      </c>
      <c r="H193">
        <v>350.16</v>
      </c>
      <c r="I193">
        <v>47553.34</v>
      </c>
      <c r="J193">
        <v>0.56210618400000001</v>
      </c>
      <c r="K193">
        <v>344</v>
      </c>
      <c r="L193">
        <v>50</v>
      </c>
      <c r="M193">
        <v>0.14534883720930233</v>
      </c>
    </row>
    <row r="194" spans="1:13" x14ac:dyDescent="0.25">
      <c r="A194" s="2" t="s">
        <v>442</v>
      </c>
      <c r="B194" s="2" t="s">
        <v>443</v>
      </c>
      <c r="C194" s="2" t="s">
        <v>44</v>
      </c>
      <c r="D194">
        <v>70492.800000000003</v>
      </c>
      <c r="E194">
        <v>60421.2</v>
      </c>
      <c r="F194">
        <v>23872.74</v>
      </c>
      <c r="G194">
        <v>2048.86</v>
      </c>
      <c r="H194">
        <v>380.23</v>
      </c>
      <c r="I194">
        <v>34119.370000000003</v>
      </c>
      <c r="J194">
        <v>0.56469202900000004</v>
      </c>
      <c r="K194">
        <v>303</v>
      </c>
      <c r="L194">
        <v>45</v>
      </c>
      <c r="M194">
        <v>0.14851485148514851</v>
      </c>
    </row>
    <row r="195" spans="1:13" x14ac:dyDescent="0.25">
      <c r="A195" s="2" t="s">
        <v>444</v>
      </c>
      <c r="B195" s="2" t="s">
        <v>445</v>
      </c>
      <c r="C195" s="2" t="s">
        <v>45</v>
      </c>
      <c r="D195">
        <v>77490</v>
      </c>
      <c r="E195">
        <v>65814</v>
      </c>
      <c r="F195">
        <v>26145.14</v>
      </c>
      <c r="G195">
        <v>2068.1799999999998</v>
      </c>
      <c r="H195">
        <v>388.47</v>
      </c>
      <c r="I195">
        <v>37212.21</v>
      </c>
      <c r="J195">
        <v>0.56541480499999996</v>
      </c>
      <c r="K195">
        <v>315</v>
      </c>
      <c r="L195">
        <v>49</v>
      </c>
      <c r="M195">
        <v>0.15555555555555556</v>
      </c>
    </row>
    <row r="196" spans="1:13" x14ac:dyDescent="0.25">
      <c r="A196" s="2" t="s">
        <v>446</v>
      </c>
      <c r="B196" s="2" t="s">
        <v>447</v>
      </c>
      <c r="C196" s="2" t="s">
        <v>42</v>
      </c>
      <c r="D196">
        <v>134161.5</v>
      </c>
      <c r="E196">
        <v>113943.5</v>
      </c>
      <c r="F196">
        <v>46979.839999999997</v>
      </c>
      <c r="G196">
        <v>1786.04</v>
      </c>
      <c r="H196">
        <v>352.76</v>
      </c>
      <c r="I196">
        <v>64824.86</v>
      </c>
      <c r="J196">
        <v>0.56892108799999996</v>
      </c>
      <c r="K196">
        <v>300</v>
      </c>
      <c r="L196">
        <v>46</v>
      </c>
      <c r="M196">
        <v>0.15333333333333332</v>
      </c>
    </row>
    <row r="197" spans="1:13" x14ac:dyDescent="0.25">
      <c r="A197" s="2" t="s">
        <v>448</v>
      </c>
      <c r="B197" s="2" t="s">
        <v>449</v>
      </c>
      <c r="C197" s="2" t="s">
        <v>42</v>
      </c>
      <c r="D197">
        <v>112513.5</v>
      </c>
      <c r="E197">
        <v>91255.5</v>
      </c>
      <c r="F197">
        <v>36784.300000000003</v>
      </c>
      <c r="G197">
        <v>1872.27</v>
      </c>
      <c r="H197">
        <v>377.07</v>
      </c>
      <c r="I197">
        <v>52221.86</v>
      </c>
      <c r="J197">
        <v>0.57225986399999995</v>
      </c>
      <c r="K197">
        <v>304</v>
      </c>
      <c r="L197">
        <v>59</v>
      </c>
      <c r="M197">
        <v>0.19407894736842105</v>
      </c>
    </row>
    <row r="198" spans="1:13" x14ac:dyDescent="0.25">
      <c r="A198" s="2" t="s">
        <v>450</v>
      </c>
      <c r="B198" s="2" t="s">
        <v>451</v>
      </c>
      <c r="C198" s="2" t="s">
        <v>45</v>
      </c>
      <c r="D198">
        <v>56116</v>
      </c>
      <c r="E198">
        <v>49354</v>
      </c>
      <c r="F198">
        <v>18440.12</v>
      </c>
      <c r="G198">
        <v>2338.42</v>
      </c>
      <c r="H198">
        <v>293.61</v>
      </c>
      <c r="I198">
        <v>28281.85</v>
      </c>
      <c r="J198">
        <v>0.57304068600000002</v>
      </c>
      <c r="K198">
        <v>344</v>
      </c>
      <c r="L198">
        <v>42</v>
      </c>
      <c r="M198">
        <v>0.12209302325581395</v>
      </c>
    </row>
    <row r="199" spans="1:13" x14ac:dyDescent="0.25">
      <c r="A199" s="2" t="s">
        <v>452</v>
      </c>
      <c r="B199" s="2" t="s">
        <v>453</v>
      </c>
      <c r="C199" s="2" t="s">
        <v>42</v>
      </c>
      <c r="D199">
        <v>76912.5</v>
      </c>
      <c r="E199">
        <v>65226</v>
      </c>
      <c r="F199">
        <v>25575.75</v>
      </c>
      <c r="G199">
        <v>1804.84</v>
      </c>
      <c r="H199">
        <v>371.61</v>
      </c>
      <c r="I199">
        <v>37473.800000000003</v>
      </c>
      <c r="J199">
        <v>0.57452243000000003</v>
      </c>
      <c r="K199">
        <v>267</v>
      </c>
      <c r="L199">
        <v>42</v>
      </c>
      <c r="M199">
        <v>0.15730337078651685</v>
      </c>
    </row>
    <row r="200" spans="1:13" x14ac:dyDescent="0.25">
      <c r="A200" s="2" t="s">
        <v>454</v>
      </c>
      <c r="B200" s="2" t="s">
        <v>455</v>
      </c>
      <c r="C200" s="2" t="s">
        <v>43</v>
      </c>
      <c r="D200">
        <v>94293.5</v>
      </c>
      <c r="E200">
        <v>78589</v>
      </c>
      <c r="F200">
        <v>30464</v>
      </c>
      <c r="G200">
        <v>2261.89</v>
      </c>
      <c r="H200">
        <v>362.58</v>
      </c>
      <c r="I200">
        <v>45500.53</v>
      </c>
      <c r="J200">
        <v>0.57896817599999995</v>
      </c>
      <c r="K200">
        <v>328</v>
      </c>
      <c r="L200">
        <v>56</v>
      </c>
      <c r="M200">
        <v>0.17073170731707318</v>
      </c>
    </row>
    <row r="201" spans="1:13" x14ac:dyDescent="0.25">
      <c r="A201" s="2" t="s">
        <v>456</v>
      </c>
      <c r="B201" s="2" t="s">
        <v>457</v>
      </c>
      <c r="C201" s="2" t="s">
        <v>43</v>
      </c>
      <c r="D201">
        <v>95063.5</v>
      </c>
      <c r="E201">
        <v>82180</v>
      </c>
      <c r="F201">
        <v>32093.01</v>
      </c>
      <c r="G201">
        <v>2042.72</v>
      </c>
      <c r="H201">
        <v>324.69</v>
      </c>
      <c r="I201">
        <v>47719.58</v>
      </c>
      <c r="J201">
        <v>0.580671453</v>
      </c>
      <c r="K201">
        <v>326</v>
      </c>
      <c r="L201">
        <v>45</v>
      </c>
      <c r="M201">
        <v>0.13803680981595093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DA91E-F387-4FFB-A9E3-8298A034263C}">
  <dimension ref="A1:L45"/>
  <sheetViews>
    <sheetView topLeftCell="A17" workbookViewId="0">
      <selection activeCell="A35" sqref="A35"/>
    </sheetView>
  </sheetViews>
  <sheetFormatPr baseColWidth="10" defaultRowHeight="15" x14ac:dyDescent="0.25"/>
  <cols>
    <col min="1" max="1" width="17.85546875" bestFit="1" customWidth="1"/>
    <col min="2" max="2" width="27.7109375" bestFit="1" customWidth="1"/>
    <col min="3" max="3" width="21.42578125" bestFit="1" customWidth="1"/>
    <col min="4" max="4" width="21.85546875" bestFit="1" customWidth="1"/>
    <col min="5" max="5" width="29.85546875" bestFit="1" customWidth="1"/>
    <col min="6" max="6" width="31.5703125" bestFit="1" customWidth="1"/>
    <col min="7" max="7" width="17.85546875" bestFit="1" customWidth="1"/>
    <col min="8" max="8" width="27.7109375" bestFit="1" customWidth="1"/>
    <col min="9" max="9" width="21.42578125" bestFit="1" customWidth="1"/>
    <col min="10" max="10" width="21.85546875" bestFit="1" customWidth="1"/>
    <col min="11" max="20" width="29.85546875" bestFit="1" customWidth="1"/>
    <col min="21" max="21" width="22.85546875" bestFit="1" customWidth="1"/>
    <col min="22" max="22" width="31" bestFit="1" customWidth="1"/>
    <col min="23" max="23" width="26.42578125" bestFit="1" customWidth="1"/>
    <col min="24" max="24" width="26.85546875" bestFit="1" customWidth="1"/>
    <col min="25" max="25" width="34.85546875" bestFit="1" customWidth="1"/>
  </cols>
  <sheetData>
    <row r="1" spans="1:5" x14ac:dyDescent="0.25">
      <c r="A1" s="5" t="s">
        <v>21</v>
      </c>
      <c r="B1" t="s">
        <v>53</v>
      </c>
      <c r="C1" t="s">
        <v>50</v>
      </c>
      <c r="D1" t="s">
        <v>51</v>
      </c>
      <c r="E1" t="s">
        <v>52</v>
      </c>
    </row>
    <row r="2" spans="1:5" x14ac:dyDescent="0.25">
      <c r="A2" s="7" t="s">
        <v>12</v>
      </c>
      <c r="B2" s="2">
        <v>175211.96</v>
      </c>
      <c r="C2" s="2">
        <v>233296.51</v>
      </c>
      <c r="D2" s="2">
        <v>21104.36</v>
      </c>
      <c r="E2" s="2">
        <v>3243.97</v>
      </c>
    </row>
    <row r="3" spans="1:5" x14ac:dyDescent="0.25">
      <c r="A3" s="7" t="s">
        <v>13</v>
      </c>
      <c r="B3" s="2">
        <v>1948922.09</v>
      </c>
      <c r="C3" s="2">
        <v>2616606.77</v>
      </c>
      <c r="D3" s="2">
        <v>249881.24</v>
      </c>
      <c r="E3" s="2">
        <v>49662.7</v>
      </c>
    </row>
    <row r="4" spans="1:5" x14ac:dyDescent="0.25">
      <c r="A4" s="7" t="s">
        <v>14</v>
      </c>
      <c r="B4" s="2">
        <v>682865.69</v>
      </c>
      <c r="C4" s="2">
        <v>910056.87</v>
      </c>
      <c r="D4" s="2">
        <v>82937.5</v>
      </c>
      <c r="E4" s="2">
        <v>12717.54</v>
      </c>
    </row>
    <row r="5" spans="1:5" x14ac:dyDescent="0.25">
      <c r="A5" s="7" t="s">
        <v>15</v>
      </c>
      <c r="B5" s="2">
        <v>945085.17</v>
      </c>
      <c r="C5" s="2">
        <v>749896.18</v>
      </c>
      <c r="D5" s="2">
        <v>61557.51</v>
      </c>
      <c r="E5" s="2">
        <v>2811.14</v>
      </c>
    </row>
    <row r="6" spans="1:5" x14ac:dyDescent="0.25">
      <c r="A6" s="7" t="s">
        <v>22</v>
      </c>
      <c r="B6" s="2">
        <v>3752084.91</v>
      </c>
      <c r="C6" s="2">
        <v>4509856.33</v>
      </c>
      <c r="D6" s="2">
        <v>415480.61</v>
      </c>
      <c r="E6" s="2">
        <v>68435.349999999991</v>
      </c>
    </row>
    <row r="9" spans="1:5" x14ac:dyDescent="0.25">
      <c r="A9" s="5" t="s">
        <v>21</v>
      </c>
      <c r="B9" t="s">
        <v>53</v>
      </c>
      <c r="C9" t="s">
        <v>50</v>
      </c>
      <c r="D9" t="s">
        <v>51</v>
      </c>
      <c r="E9" t="s">
        <v>52</v>
      </c>
    </row>
    <row r="10" spans="1:5" x14ac:dyDescent="0.25">
      <c r="A10" s="7" t="s">
        <v>49</v>
      </c>
      <c r="B10" s="2">
        <v>97121.59</v>
      </c>
      <c r="C10" s="2">
        <v>155779.31</v>
      </c>
      <c r="D10" s="2">
        <v>44654.19</v>
      </c>
      <c r="E10" s="2">
        <v>8018.81</v>
      </c>
    </row>
    <row r="11" spans="1:5" x14ac:dyDescent="0.25">
      <c r="A11" s="7" t="s">
        <v>45</v>
      </c>
      <c r="B11" s="2">
        <v>613791.79</v>
      </c>
      <c r="C11" s="2">
        <v>794084.06</v>
      </c>
      <c r="D11" s="2">
        <v>52504.73</v>
      </c>
      <c r="E11" s="2">
        <v>8478.92</v>
      </c>
    </row>
    <row r="12" spans="1:5" x14ac:dyDescent="0.25">
      <c r="A12" s="7" t="s">
        <v>46</v>
      </c>
      <c r="B12" s="2">
        <v>292659.37</v>
      </c>
      <c r="C12" s="2">
        <v>377899.51</v>
      </c>
      <c r="D12" s="2">
        <v>53064.67</v>
      </c>
      <c r="E12" s="2">
        <v>8643.0499999999993</v>
      </c>
    </row>
    <row r="13" spans="1:5" x14ac:dyDescent="0.25">
      <c r="A13" s="7" t="s">
        <v>44</v>
      </c>
      <c r="B13" s="2">
        <v>657668.27</v>
      </c>
      <c r="C13" s="2">
        <v>766295.89</v>
      </c>
      <c r="D13" s="2">
        <v>74798.990000000005</v>
      </c>
      <c r="E13" s="2">
        <v>12446.15</v>
      </c>
    </row>
    <row r="14" spans="1:5" x14ac:dyDescent="0.25">
      <c r="A14" s="7" t="s">
        <v>42</v>
      </c>
      <c r="B14" s="2">
        <v>1193140.24</v>
      </c>
      <c r="C14" s="2">
        <v>1321340.42</v>
      </c>
      <c r="D14" s="2">
        <v>59651.89</v>
      </c>
      <c r="E14" s="2">
        <v>10139.450000000001</v>
      </c>
    </row>
    <row r="15" spans="1:5" x14ac:dyDescent="0.25">
      <c r="A15" s="7" t="s">
        <v>43</v>
      </c>
      <c r="B15" s="2">
        <v>521604.88</v>
      </c>
      <c r="C15" s="2">
        <v>561309.14</v>
      </c>
      <c r="D15" s="2">
        <v>46434.31</v>
      </c>
      <c r="E15" s="2">
        <v>6923.27</v>
      </c>
    </row>
    <row r="16" spans="1:5" x14ac:dyDescent="0.25">
      <c r="A16" s="7" t="s">
        <v>47</v>
      </c>
      <c r="B16" s="2">
        <v>226911.04</v>
      </c>
      <c r="C16" s="2">
        <v>324949.21000000002</v>
      </c>
      <c r="D16" s="2">
        <v>45093.54</v>
      </c>
      <c r="E16" s="2">
        <v>7099.51</v>
      </c>
    </row>
    <row r="17" spans="1:5" x14ac:dyDescent="0.25">
      <c r="A17" s="7" t="s">
        <v>48</v>
      </c>
      <c r="B17" s="2">
        <v>149187.73000000001</v>
      </c>
      <c r="C17" s="2">
        <v>208198.79</v>
      </c>
      <c r="D17" s="2">
        <v>39278.29</v>
      </c>
      <c r="E17" s="2">
        <v>6686.19</v>
      </c>
    </row>
    <row r="18" spans="1:5" x14ac:dyDescent="0.25">
      <c r="A18" s="7" t="s">
        <v>22</v>
      </c>
      <c r="B18" s="2">
        <v>3752084.9099999997</v>
      </c>
      <c r="C18" s="2">
        <v>4509856.33</v>
      </c>
      <c r="D18" s="2">
        <v>415480.61</v>
      </c>
      <c r="E18" s="2">
        <v>68435.350000000006</v>
      </c>
    </row>
    <row r="20" spans="1:5" x14ac:dyDescent="0.25">
      <c r="A20" s="5" t="s">
        <v>21</v>
      </c>
      <c r="B20" t="s">
        <v>53</v>
      </c>
      <c r="C20" t="s">
        <v>50</v>
      </c>
      <c r="D20" t="s">
        <v>51</v>
      </c>
      <c r="E20" t="s">
        <v>52</v>
      </c>
    </row>
    <row r="21" spans="1:5" x14ac:dyDescent="0.25">
      <c r="A21" s="7" t="s">
        <v>58</v>
      </c>
      <c r="B21" s="2">
        <v>-189.28</v>
      </c>
      <c r="C21" s="2">
        <v>4419.62</v>
      </c>
      <c r="D21" s="2">
        <v>2075.4299999999998</v>
      </c>
      <c r="E21" s="2">
        <v>414.83</v>
      </c>
    </row>
    <row r="22" spans="1:5" x14ac:dyDescent="0.25">
      <c r="A22" s="7" t="s">
        <v>60</v>
      </c>
      <c r="B22" s="2">
        <v>-75.44</v>
      </c>
      <c r="C22" s="2">
        <v>4085.1</v>
      </c>
      <c r="D22" s="2">
        <v>1931.28</v>
      </c>
      <c r="E22" s="2">
        <v>442.76</v>
      </c>
    </row>
    <row r="23" spans="1:5" x14ac:dyDescent="0.25">
      <c r="A23" s="7" t="s">
        <v>62</v>
      </c>
      <c r="B23" s="2">
        <v>-67.02</v>
      </c>
      <c r="C23" s="2">
        <v>4179.07</v>
      </c>
      <c r="D23" s="2">
        <v>2047.49</v>
      </c>
      <c r="E23" s="2">
        <v>375.96</v>
      </c>
    </row>
    <row r="24" spans="1:5" x14ac:dyDescent="0.25">
      <c r="A24" s="7" t="s">
        <v>64</v>
      </c>
      <c r="B24" s="2">
        <v>8.07</v>
      </c>
      <c r="C24" s="2">
        <v>4424.59</v>
      </c>
      <c r="D24" s="2">
        <v>2398.08</v>
      </c>
      <c r="E24" s="2">
        <v>396.56</v>
      </c>
    </row>
    <row r="25" spans="1:5" x14ac:dyDescent="0.25">
      <c r="A25" s="7" t="s">
        <v>66</v>
      </c>
      <c r="B25" s="2">
        <v>628.69000000000005</v>
      </c>
      <c r="C25" s="2">
        <v>3667.48</v>
      </c>
      <c r="D25" s="2">
        <v>2105.94</v>
      </c>
      <c r="E25" s="2">
        <v>402.19</v>
      </c>
    </row>
    <row r="26" spans="1:5" x14ac:dyDescent="0.25">
      <c r="A26" s="7" t="s">
        <v>68</v>
      </c>
      <c r="B26" s="2">
        <v>1128.8399999999999</v>
      </c>
      <c r="C26" s="2">
        <v>7010.46</v>
      </c>
      <c r="D26" s="2">
        <v>2194.7600000000002</v>
      </c>
      <c r="E26" s="2">
        <v>405.94</v>
      </c>
    </row>
    <row r="27" spans="1:5" x14ac:dyDescent="0.25">
      <c r="A27" s="7" t="s">
        <v>76</v>
      </c>
      <c r="B27" s="2">
        <v>1315.3</v>
      </c>
      <c r="C27" s="2">
        <v>2633.4</v>
      </c>
      <c r="D27" s="2">
        <v>2194.29</v>
      </c>
      <c r="E27" s="2">
        <v>444.71</v>
      </c>
    </row>
    <row r="28" spans="1:5" x14ac:dyDescent="0.25">
      <c r="A28" s="7" t="s">
        <v>74</v>
      </c>
      <c r="B28" s="2">
        <v>1335.9</v>
      </c>
      <c r="C28" s="2">
        <v>2782.78</v>
      </c>
      <c r="D28" s="2">
        <v>2255.54</v>
      </c>
      <c r="E28" s="2">
        <v>466.38</v>
      </c>
    </row>
    <row r="29" spans="1:5" x14ac:dyDescent="0.25">
      <c r="A29" s="7" t="s">
        <v>70</v>
      </c>
      <c r="B29" s="2">
        <v>1718.03</v>
      </c>
      <c r="C29" s="2">
        <v>6822.06</v>
      </c>
      <c r="D29" s="2">
        <v>1924.41</v>
      </c>
      <c r="E29" s="2">
        <v>228</v>
      </c>
    </row>
    <row r="30" spans="1:5" x14ac:dyDescent="0.25">
      <c r="A30" s="7" t="s">
        <v>72</v>
      </c>
      <c r="B30" s="2">
        <v>2055.23</v>
      </c>
      <c r="C30" s="2">
        <v>6398.79</v>
      </c>
      <c r="D30" s="2">
        <v>1945</v>
      </c>
      <c r="E30" s="2">
        <v>430.48</v>
      </c>
    </row>
    <row r="31" spans="1:5" x14ac:dyDescent="0.25">
      <c r="A31" s="7" t="s">
        <v>22</v>
      </c>
      <c r="B31" s="2">
        <v>7858.32</v>
      </c>
      <c r="C31" s="2">
        <v>46423.35</v>
      </c>
      <c r="D31" s="2">
        <v>21072.220000000005</v>
      </c>
      <c r="E31" s="2">
        <v>4007.81</v>
      </c>
    </row>
    <row r="34" spans="1:5" x14ac:dyDescent="0.25">
      <c r="A34" s="5" t="s">
        <v>21</v>
      </c>
      <c r="B34" t="s">
        <v>53</v>
      </c>
      <c r="C34" t="s">
        <v>50</v>
      </c>
      <c r="D34" t="s">
        <v>51</v>
      </c>
      <c r="E34" t="s">
        <v>52</v>
      </c>
    </row>
    <row r="35" spans="1:5" x14ac:dyDescent="0.25">
      <c r="A35" s="7" t="s">
        <v>422</v>
      </c>
      <c r="B35" s="2">
        <v>69868.070000000007</v>
      </c>
      <c r="C35" s="2">
        <v>56754.559999999998</v>
      </c>
      <c r="D35" s="2">
        <v>2105.16</v>
      </c>
      <c r="E35" s="2">
        <v>329.71</v>
      </c>
    </row>
    <row r="36" spans="1:5" x14ac:dyDescent="0.25">
      <c r="A36" s="7" t="s">
        <v>446</v>
      </c>
      <c r="B36" s="2">
        <v>64824.86</v>
      </c>
      <c r="C36" s="2">
        <v>46979.839999999997</v>
      </c>
      <c r="D36" s="2">
        <v>1786.04</v>
      </c>
      <c r="E36" s="2">
        <v>352.76</v>
      </c>
    </row>
    <row r="37" spans="1:5" x14ac:dyDescent="0.25">
      <c r="A37" s="7" t="s">
        <v>368</v>
      </c>
      <c r="B37" s="2">
        <v>62075.25</v>
      </c>
      <c r="C37" s="2">
        <v>63455.42</v>
      </c>
      <c r="D37" s="2">
        <v>2162.5300000000002</v>
      </c>
      <c r="E37" s="2">
        <v>291.8</v>
      </c>
    </row>
    <row r="38" spans="1:5" x14ac:dyDescent="0.25">
      <c r="A38" s="7" t="s">
        <v>434</v>
      </c>
      <c r="B38" s="2">
        <v>61384.13</v>
      </c>
      <c r="C38" s="2">
        <v>46544.22</v>
      </c>
      <c r="D38" s="2">
        <v>2017.98</v>
      </c>
      <c r="E38" s="2">
        <v>372.67</v>
      </c>
    </row>
    <row r="39" spans="1:5" x14ac:dyDescent="0.25">
      <c r="A39" s="7" t="s">
        <v>320</v>
      </c>
      <c r="B39" s="2">
        <v>59637.47</v>
      </c>
      <c r="C39" s="2">
        <v>73772.27</v>
      </c>
      <c r="D39" s="2">
        <v>2152.25</v>
      </c>
      <c r="E39" s="2">
        <v>359.51</v>
      </c>
    </row>
    <row r="40" spans="1:5" x14ac:dyDescent="0.25">
      <c r="A40" s="7" t="s">
        <v>348</v>
      </c>
      <c r="B40" s="2">
        <v>58223.15</v>
      </c>
      <c r="C40" s="2">
        <v>65998.8</v>
      </c>
      <c r="D40" s="2">
        <v>2268.4899999999998</v>
      </c>
      <c r="E40" s="2">
        <v>251.56</v>
      </c>
    </row>
    <row r="41" spans="1:5" x14ac:dyDescent="0.25">
      <c r="A41" s="7" t="s">
        <v>448</v>
      </c>
      <c r="B41" s="2">
        <v>52221.86</v>
      </c>
      <c r="C41" s="2">
        <v>36784.300000000003</v>
      </c>
      <c r="D41" s="2">
        <v>1872.27</v>
      </c>
      <c r="E41" s="2">
        <v>377.07</v>
      </c>
    </row>
    <row r="42" spans="1:5" x14ac:dyDescent="0.25">
      <c r="A42" s="7" t="s">
        <v>398</v>
      </c>
      <c r="B42" s="2">
        <v>51020.77</v>
      </c>
      <c r="C42" s="2">
        <v>45488.79</v>
      </c>
      <c r="D42" s="2">
        <v>2086.3000000000002</v>
      </c>
      <c r="E42" s="2">
        <v>386.14</v>
      </c>
    </row>
    <row r="43" spans="1:5" x14ac:dyDescent="0.25">
      <c r="A43" s="7" t="s">
        <v>438</v>
      </c>
      <c r="B43" s="2">
        <v>48396.02</v>
      </c>
      <c r="C43" s="2">
        <v>35503</v>
      </c>
      <c r="D43" s="2">
        <v>2066.56</v>
      </c>
      <c r="E43" s="2">
        <v>394.42</v>
      </c>
    </row>
    <row r="44" spans="1:5" x14ac:dyDescent="0.25">
      <c r="A44" s="7" t="s">
        <v>400</v>
      </c>
      <c r="B44" s="2">
        <v>48307.39</v>
      </c>
      <c r="C44" s="2">
        <v>42692.1</v>
      </c>
      <c r="D44" s="2">
        <v>2072.94</v>
      </c>
      <c r="E44" s="2">
        <v>320.57</v>
      </c>
    </row>
    <row r="45" spans="1:5" x14ac:dyDescent="0.25">
      <c r="A45" s="7" t="s">
        <v>22</v>
      </c>
      <c r="B45" s="2">
        <v>575958.97</v>
      </c>
      <c r="C45" s="2">
        <v>513973.3</v>
      </c>
      <c r="D45" s="2">
        <v>20590.52</v>
      </c>
      <c r="E45" s="2">
        <v>3436.2100000000005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3E83CA-2F1A-4924-B0BA-1D2A91946F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Dashboard</vt:lpstr>
      <vt:lpstr>export 1A_excel</vt:lpstr>
      <vt:lpstr>export 1B_excel</vt:lpstr>
      <vt:lpstr>Dynamic Table 1</vt:lpstr>
      <vt:lpstr>export 2A_excel</vt:lpstr>
      <vt:lpstr>Dynamic Table 2</vt:lpstr>
      <vt:lpstr>export 3A_excel</vt:lpstr>
      <vt:lpstr>export 3B_excel</vt:lpstr>
      <vt:lpstr>export 3C_excel</vt:lpstr>
      <vt:lpstr>Dynamic Table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Zhongkai Dai</dc:creator>
  <cp:lastModifiedBy>Zhongkai Dai</cp:lastModifiedBy>
  <dcterms:created xsi:type="dcterms:W3CDTF">2026-08-16T17:03:21Z</dcterms:created>
  <dcterms:modified xsi:type="dcterms:W3CDTF">2026-08-20T16:13:49Z</dcterms:modified>
</cp:coreProperties>
</file>