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zhon\Desktop\Repository\"/>
    </mc:Choice>
  </mc:AlternateContent>
  <xr:revisionPtr revIDLastSave="0" documentId="13_ncr:1_{BDB885D1-6108-4FAC-9B91-44130DB55C8A}" xr6:coauthVersionLast="47" xr6:coauthVersionMax="47" xr10:uidLastSave="{00000000-0000-0000-0000-000000000000}"/>
  <bookViews>
    <workbookView xWindow="-120" yWindow="-120" windowWidth="29040" windowHeight="15720" xr2:uid="{C1FE6054-99F0-4700-ADDB-3BD48D49DE20}"/>
  </bookViews>
  <sheets>
    <sheet name="Dashboard" sheetId="1" r:id="rId1"/>
    <sheet name="export 1A_excel" sheetId="2" r:id="rId2"/>
    <sheet name="export 1B_excel" sheetId="3" r:id="rId3"/>
    <sheet name="Dynamic Table 1" sheetId="4" r:id="rId4"/>
    <sheet name="export 2A_excel" sheetId="5" r:id="rId5"/>
    <sheet name="Dynamic Table 2" sheetId="6" r:id="rId6"/>
  </sheets>
  <definedNames>
    <definedName name="DatosExternos_1" localSheetId="1" hidden="1">'export 1A_excel'!$A$1:$L$101</definedName>
    <definedName name="DatosExternos_1" localSheetId="4" hidden="1">'export 2A_excel'!$A$1:$H$101</definedName>
    <definedName name="DatosExternos_2" localSheetId="2" hidden="1">'export 1B_excel'!$A$1:$M$5</definedName>
  </definedNames>
  <calcPr calcId="191029"/>
  <pivotCaches>
    <pivotCache cacheId="0" r:id="rId7"/>
    <pivotCache cacheId="1" r:id="rId8"/>
    <pivotCache cacheId="2" r:id="rId9"/>
    <pivotCache cacheId="7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" i="1" l="1"/>
  <c r="B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D5E8A77-6E8F-4390-9634-2C737FDF144A}" keepAlive="1" name="Consulta - export 1A_excel" description="Conexión a la consulta 'export 1A_excel' en el libro." type="5" refreshedVersion="8" background="1" saveData="1">
    <dbPr connection="Provider=Microsoft.Mashup.OleDb.1;Data Source=$Workbook$;Location=&quot;export 1A_excel&quot;;Extended Properties=&quot;&quot;" command="SELECT * FROM [export 1A_excel]"/>
  </connection>
  <connection id="2" xr16:uid="{F7D7AAFC-29B3-468B-8C7A-7969CD1B1DB1}" keepAlive="1" name="Consulta - export 1B_excel" description="Conexión a la consulta 'export 1B_excel' en el libro." type="5" refreshedVersion="8" background="1" saveData="1">
    <dbPr connection="Provider=Microsoft.Mashup.OleDb.1;Data Source=$Workbook$;Location=&quot;export 1B_excel&quot;;Extended Properties=&quot;&quot;" command="SELECT * FROM [export 1B_excel]"/>
  </connection>
  <connection id="3" xr16:uid="{FFC5EA4D-3F87-4E37-A65A-C112C519526B}" keepAlive="1" name="Consulta - export 2A_excel" description="Conexión a la consulta 'export 2A_excel' en el libro." type="5" refreshedVersion="8" background="1" saveData="1">
    <dbPr connection="Provider=Microsoft.Mashup.OleDb.1;Data Source=$Workbook$;Location=&quot;export 2A_excel&quot;;Extended Properties=&quot;&quot;" command="SELECT * FROM [export 2A_excel]"/>
  </connection>
</connections>
</file>

<file path=xl/sharedStrings.xml><?xml version="1.0" encoding="utf-8"?>
<sst xmlns="http://schemas.openxmlformats.org/spreadsheetml/2006/main" count="285" uniqueCount="37">
  <si>
    <t>year_month</t>
  </si>
  <si>
    <t>channel</t>
  </si>
  <si>
    <t>units_sold</t>
  </si>
  <si>
    <t>units_returned</t>
  </si>
  <si>
    <t>gross_sales</t>
  </si>
  <si>
    <t>taxes</t>
  </si>
  <si>
    <t>net_sales</t>
  </si>
  <si>
    <t>returned_sales_value</t>
  </si>
  <si>
    <t>realized_net_sales</t>
  </si>
  <si>
    <t>return_rate</t>
  </si>
  <si>
    <t>net_sales_per_unit</t>
  </si>
  <si>
    <t>realized_net_sales_per_unit</t>
  </si>
  <si>
    <t>marketplace</t>
  </si>
  <si>
    <t>online</t>
  </si>
  <si>
    <t>retail</t>
  </si>
  <si>
    <t>wholesale</t>
  </si>
  <si>
    <t>net_sales_mix</t>
  </si>
  <si>
    <t>realized_sales_mix</t>
  </si>
  <si>
    <t>Net Sales</t>
  </si>
  <si>
    <t>Realized Net Sales</t>
  </si>
  <si>
    <t>1. Channel Sales</t>
  </si>
  <si>
    <t>Etiquetas de fila</t>
  </si>
  <si>
    <t>Total general</t>
  </si>
  <si>
    <t>Suma de realized_net_sales</t>
  </si>
  <si>
    <t>Etiquetas de columna</t>
  </si>
  <si>
    <t>Suma de return_rate</t>
  </si>
  <si>
    <t>Channel</t>
  </si>
  <si>
    <t>Mix</t>
  </si>
  <si>
    <t>Return Rate</t>
  </si>
  <si>
    <t>Suma de returned_sales_value</t>
  </si>
  <si>
    <t>Suma de taxes</t>
  </si>
  <si>
    <t>net_sales_at_sale</t>
  </si>
  <si>
    <t>2. Net Sales and Late-arriving Returns</t>
  </si>
  <si>
    <t>(Todas)</t>
  </si>
  <si>
    <t>(en blanco)</t>
  </si>
  <si>
    <t>Suma de net_sales_at_sale</t>
  </si>
  <si>
    <t>3. Contribution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</si>
</sst>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0" fillId="0" borderId="0" xfId="0" applyNumberFormat="1"/>
    <xf numFmtId="0" fontId="1" fillId="0" borderId="0" xfId="0" applyFont="1"/>
    <xf numFmtId="0" fontId="3" fillId="0" borderId="0" xfId="0" applyFon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/>
    <xf numFmtId="164" fontId="2" fillId="2" borderId="0" xfId="0" applyNumberFormat="1" applyFont="1" applyFill="1"/>
    <xf numFmtId="164" fontId="0" fillId="3" borderId="0" xfId="0" applyNumberFormat="1" applyFill="1"/>
    <xf numFmtId="164" fontId="2" fillId="4" borderId="0" xfId="0" applyNumberFormat="1" applyFont="1" applyFill="1"/>
  </cellXfs>
  <cellStyles count="1">
    <cellStyle name="Normal" xfId="0" builtinId="0"/>
  </cellStyles>
  <dxfs count="11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font>
        <color theme="0"/>
      </font>
    </dxf>
    <dxf>
      <fill>
        <patternFill patternType="solid">
          <bgColor theme="9" tint="-0.249977111117893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theme="0"/>
      </font>
    </dxf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[Dashboard.xlsx]Dynamic Table 1!TablaDinámica1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'Dynamic Table 1'!$B$3:$B$4</c:f>
              <c:strCache>
                <c:ptCount val="1"/>
                <c:pt idx="0">
                  <c:v>marketplace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'Dynamic Table 1'!$A$5:$A$30</c:f>
              <c:strCache>
                <c:ptCount val="25"/>
                <c:pt idx="0">
                  <c:v>01/05/2024</c:v>
                </c:pt>
                <c:pt idx="1">
                  <c:v>01/06/2024</c:v>
                </c:pt>
                <c:pt idx="2">
                  <c:v>01/07/2024</c:v>
                </c:pt>
                <c:pt idx="3">
                  <c:v>01/08/2024</c:v>
                </c:pt>
                <c:pt idx="4">
                  <c:v>01/09/2024</c:v>
                </c:pt>
                <c:pt idx="5">
                  <c:v>01/10/2024</c:v>
                </c:pt>
                <c:pt idx="6">
                  <c:v>01/11/2024</c:v>
                </c:pt>
                <c:pt idx="7">
                  <c:v>01/12/2024</c:v>
                </c:pt>
                <c:pt idx="8">
                  <c:v>01/01/2025</c:v>
                </c:pt>
                <c:pt idx="9">
                  <c:v>01/02/2025</c:v>
                </c:pt>
                <c:pt idx="10">
                  <c:v>01/03/2025</c:v>
                </c:pt>
                <c:pt idx="11">
                  <c:v>01/04/2025</c:v>
                </c:pt>
                <c:pt idx="12">
                  <c:v>01/05/2025</c:v>
                </c:pt>
                <c:pt idx="13">
                  <c:v>01/06/2025</c:v>
                </c:pt>
                <c:pt idx="14">
                  <c:v>01/07/2025</c:v>
                </c:pt>
                <c:pt idx="15">
                  <c:v>01/08/2025</c:v>
                </c:pt>
                <c:pt idx="16">
                  <c:v>01/09/2025</c:v>
                </c:pt>
                <c:pt idx="17">
                  <c:v>01/10/2025</c:v>
                </c:pt>
                <c:pt idx="18">
                  <c:v>01/11/2025</c:v>
                </c:pt>
                <c:pt idx="19">
                  <c:v>01/12/2025</c:v>
                </c:pt>
                <c:pt idx="20">
                  <c:v>01/01/2026</c:v>
                </c:pt>
                <c:pt idx="21">
                  <c:v>01/02/2026</c:v>
                </c:pt>
                <c:pt idx="22">
                  <c:v>01/03/2026</c:v>
                </c:pt>
                <c:pt idx="23">
                  <c:v>01/04/2026</c:v>
                </c:pt>
                <c:pt idx="24">
                  <c:v>01/05/2026</c:v>
                </c:pt>
              </c:strCache>
            </c:strRef>
          </c:cat>
          <c:val>
            <c:numRef>
              <c:f>'Dynamic Table 1'!$B$5:$B$30</c:f>
              <c:numCache>
                <c:formatCode>General</c:formatCode>
                <c:ptCount val="25"/>
                <c:pt idx="0">
                  <c:v>0</c:v>
                </c:pt>
                <c:pt idx="1">
                  <c:v>13382.6</c:v>
                </c:pt>
                <c:pt idx="2">
                  <c:v>16890.2</c:v>
                </c:pt>
                <c:pt idx="3">
                  <c:v>16108.1</c:v>
                </c:pt>
                <c:pt idx="4">
                  <c:v>11652.5</c:v>
                </c:pt>
                <c:pt idx="5">
                  <c:v>14875.7</c:v>
                </c:pt>
                <c:pt idx="6">
                  <c:v>26101.599999999999</c:v>
                </c:pt>
                <c:pt idx="7">
                  <c:v>23589.4</c:v>
                </c:pt>
                <c:pt idx="8">
                  <c:v>12561</c:v>
                </c:pt>
                <c:pt idx="9">
                  <c:v>13437.9</c:v>
                </c:pt>
                <c:pt idx="10">
                  <c:v>13848.7</c:v>
                </c:pt>
                <c:pt idx="11">
                  <c:v>17214.099999999999</c:v>
                </c:pt>
                <c:pt idx="12">
                  <c:v>21164.1</c:v>
                </c:pt>
                <c:pt idx="13">
                  <c:v>20192.400000000001</c:v>
                </c:pt>
                <c:pt idx="14">
                  <c:v>19046.900000000001</c:v>
                </c:pt>
                <c:pt idx="15">
                  <c:v>15065.3</c:v>
                </c:pt>
                <c:pt idx="16">
                  <c:v>21298.400000000001</c:v>
                </c:pt>
                <c:pt idx="17">
                  <c:v>18936.3</c:v>
                </c:pt>
                <c:pt idx="18">
                  <c:v>26978.5</c:v>
                </c:pt>
                <c:pt idx="19">
                  <c:v>24426.799999999999</c:v>
                </c:pt>
                <c:pt idx="20">
                  <c:v>17174.599999999999</c:v>
                </c:pt>
                <c:pt idx="21">
                  <c:v>11091.6</c:v>
                </c:pt>
                <c:pt idx="22">
                  <c:v>21796.1</c:v>
                </c:pt>
                <c:pt idx="23">
                  <c:v>22364.9</c:v>
                </c:pt>
                <c:pt idx="24">
                  <c:v>23929.1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4A-495D-AAD1-6159CCF624E8}"/>
            </c:ext>
          </c:extLst>
        </c:ser>
        <c:ser>
          <c:idx val="1"/>
          <c:order val="1"/>
          <c:tx>
            <c:strRef>
              <c:f>'Dynamic Table 1'!$C$3:$C$4</c:f>
              <c:strCache>
                <c:ptCount val="1"/>
                <c:pt idx="0">
                  <c:v>online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'Dynamic Table 1'!$A$5:$A$30</c:f>
              <c:strCache>
                <c:ptCount val="25"/>
                <c:pt idx="0">
                  <c:v>01/05/2024</c:v>
                </c:pt>
                <c:pt idx="1">
                  <c:v>01/06/2024</c:v>
                </c:pt>
                <c:pt idx="2">
                  <c:v>01/07/2024</c:v>
                </c:pt>
                <c:pt idx="3">
                  <c:v>01/08/2024</c:v>
                </c:pt>
                <c:pt idx="4">
                  <c:v>01/09/2024</c:v>
                </c:pt>
                <c:pt idx="5">
                  <c:v>01/10/2024</c:v>
                </c:pt>
                <c:pt idx="6">
                  <c:v>01/11/2024</c:v>
                </c:pt>
                <c:pt idx="7">
                  <c:v>01/12/2024</c:v>
                </c:pt>
                <c:pt idx="8">
                  <c:v>01/01/2025</c:v>
                </c:pt>
                <c:pt idx="9">
                  <c:v>01/02/2025</c:v>
                </c:pt>
                <c:pt idx="10">
                  <c:v>01/03/2025</c:v>
                </c:pt>
                <c:pt idx="11">
                  <c:v>01/04/2025</c:v>
                </c:pt>
                <c:pt idx="12">
                  <c:v>01/05/2025</c:v>
                </c:pt>
                <c:pt idx="13">
                  <c:v>01/06/2025</c:v>
                </c:pt>
                <c:pt idx="14">
                  <c:v>01/07/2025</c:v>
                </c:pt>
                <c:pt idx="15">
                  <c:v>01/08/2025</c:v>
                </c:pt>
                <c:pt idx="16">
                  <c:v>01/09/2025</c:v>
                </c:pt>
                <c:pt idx="17">
                  <c:v>01/10/2025</c:v>
                </c:pt>
                <c:pt idx="18">
                  <c:v>01/11/2025</c:v>
                </c:pt>
                <c:pt idx="19">
                  <c:v>01/12/2025</c:v>
                </c:pt>
                <c:pt idx="20">
                  <c:v>01/01/2026</c:v>
                </c:pt>
                <c:pt idx="21">
                  <c:v>01/02/2026</c:v>
                </c:pt>
                <c:pt idx="22">
                  <c:v>01/03/2026</c:v>
                </c:pt>
                <c:pt idx="23">
                  <c:v>01/04/2026</c:v>
                </c:pt>
                <c:pt idx="24">
                  <c:v>01/05/2026</c:v>
                </c:pt>
              </c:strCache>
            </c:strRef>
          </c:cat>
          <c:val>
            <c:numRef>
              <c:f>'Dynamic Table 1'!$C$5:$C$30</c:f>
              <c:numCache>
                <c:formatCode>General</c:formatCode>
                <c:ptCount val="25"/>
                <c:pt idx="0">
                  <c:v>16700.599999999999</c:v>
                </c:pt>
                <c:pt idx="1">
                  <c:v>173555.1</c:v>
                </c:pt>
                <c:pt idx="2">
                  <c:v>184228</c:v>
                </c:pt>
                <c:pt idx="3">
                  <c:v>172931</c:v>
                </c:pt>
                <c:pt idx="4">
                  <c:v>167922.4</c:v>
                </c:pt>
                <c:pt idx="5">
                  <c:v>182347.8</c:v>
                </c:pt>
                <c:pt idx="6">
                  <c:v>241044.8</c:v>
                </c:pt>
                <c:pt idx="7">
                  <c:v>255391.2</c:v>
                </c:pt>
                <c:pt idx="8">
                  <c:v>150700.4</c:v>
                </c:pt>
                <c:pt idx="9">
                  <c:v>138645</c:v>
                </c:pt>
                <c:pt idx="10">
                  <c:v>178121.3</c:v>
                </c:pt>
                <c:pt idx="11">
                  <c:v>187285.3</c:v>
                </c:pt>
                <c:pt idx="12">
                  <c:v>206371.7</c:v>
                </c:pt>
                <c:pt idx="13">
                  <c:v>215393.5</c:v>
                </c:pt>
                <c:pt idx="14">
                  <c:v>207485.6</c:v>
                </c:pt>
                <c:pt idx="15">
                  <c:v>191606.6</c:v>
                </c:pt>
                <c:pt idx="16">
                  <c:v>210732.5</c:v>
                </c:pt>
                <c:pt idx="17">
                  <c:v>220970.9</c:v>
                </c:pt>
                <c:pt idx="18">
                  <c:v>277937.8</c:v>
                </c:pt>
                <c:pt idx="19">
                  <c:v>324634.7</c:v>
                </c:pt>
                <c:pt idx="20">
                  <c:v>196164.9</c:v>
                </c:pt>
                <c:pt idx="21">
                  <c:v>162811.1</c:v>
                </c:pt>
                <c:pt idx="22">
                  <c:v>236739.3</c:v>
                </c:pt>
                <c:pt idx="23">
                  <c:v>246827.6</c:v>
                </c:pt>
                <c:pt idx="24">
                  <c:v>241771.6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4A-495D-AAD1-6159CCF624E8}"/>
            </c:ext>
          </c:extLst>
        </c:ser>
        <c:ser>
          <c:idx val="2"/>
          <c:order val="2"/>
          <c:tx>
            <c:strRef>
              <c:f>'Dynamic Table 1'!$D$3:$D$4</c:f>
              <c:strCache>
                <c:ptCount val="1"/>
                <c:pt idx="0">
                  <c:v>retail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'Dynamic Table 1'!$A$5:$A$30</c:f>
              <c:strCache>
                <c:ptCount val="25"/>
                <c:pt idx="0">
                  <c:v>01/05/2024</c:v>
                </c:pt>
                <c:pt idx="1">
                  <c:v>01/06/2024</c:v>
                </c:pt>
                <c:pt idx="2">
                  <c:v>01/07/2024</c:v>
                </c:pt>
                <c:pt idx="3">
                  <c:v>01/08/2024</c:v>
                </c:pt>
                <c:pt idx="4">
                  <c:v>01/09/2024</c:v>
                </c:pt>
                <c:pt idx="5">
                  <c:v>01/10/2024</c:v>
                </c:pt>
                <c:pt idx="6">
                  <c:v>01/11/2024</c:v>
                </c:pt>
                <c:pt idx="7">
                  <c:v>01/12/2024</c:v>
                </c:pt>
                <c:pt idx="8">
                  <c:v>01/01/2025</c:v>
                </c:pt>
                <c:pt idx="9">
                  <c:v>01/02/2025</c:v>
                </c:pt>
                <c:pt idx="10">
                  <c:v>01/03/2025</c:v>
                </c:pt>
                <c:pt idx="11">
                  <c:v>01/04/2025</c:v>
                </c:pt>
                <c:pt idx="12">
                  <c:v>01/05/2025</c:v>
                </c:pt>
                <c:pt idx="13">
                  <c:v>01/06/2025</c:v>
                </c:pt>
                <c:pt idx="14">
                  <c:v>01/07/2025</c:v>
                </c:pt>
                <c:pt idx="15">
                  <c:v>01/08/2025</c:v>
                </c:pt>
                <c:pt idx="16">
                  <c:v>01/09/2025</c:v>
                </c:pt>
                <c:pt idx="17">
                  <c:v>01/10/2025</c:v>
                </c:pt>
                <c:pt idx="18">
                  <c:v>01/11/2025</c:v>
                </c:pt>
                <c:pt idx="19">
                  <c:v>01/12/2025</c:v>
                </c:pt>
                <c:pt idx="20">
                  <c:v>01/01/2026</c:v>
                </c:pt>
                <c:pt idx="21">
                  <c:v>01/02/2026</c:v>
                </c:pt>
                <c:pt idx="22">
                  <c:v>01/03/2026</c:v>
                </c:pt>
                <c:pt idx="23">
                  <c:v>01/04/2026</c:v>
                </c:pt>
                <c:pt idx="24">
                  <c:v>01/05/2026</c:v>
                </c:pt>
              </c:strCache>
            </c:strRef>
          </c:cat>
          <c:val>
            <c:numRef>
              <c:f>'Dynamic Table 1'!$D$5:$D$30</c:f>
              <c:numCache>
                <c:formatCode>General</c:formatCode>
                <c:ptCount val="25"/>
                <c:pt idx="0">
                  <c:v>5988.2</c:v>
                </c:pt>
                <c:pt idx="1">
                  <c:v>68382.399999999994</c:v>
                </c:pt>
                <c:pt idx="2">
                  <c:v>53996.5</c:v>
                </c:pt>
                <c:pt idx="3">
                  <c:v>52858.9</c:v>
                </c:pt>
                <c:pt idx="4">
                  <c:v>61746.400000000001</c:v>
                </c:pt>
                <c:pt idx="5">
                  <c:v>66660.2</c:v>
                </c:pt>
                <c:pt idx="6">
                  <c:v>81622.8</c:v>
                </c:pt>
                <c:pt idx="7">
                  <c:v>103213.5</c:v>
                </c:pt>
                <c:pt idx="8">
                  <c:v>57196</c:v>
                </c:pt>
                <c:pt idx="9">
                  <c:v>47076.1</c:v>
                </c:pt>
                <c:pt idx="10">
                  <c:v>67055.199999999997</c:v>
                </c:pt>
                <c:pt idx="11">
                  <c:v>62259.9</c:v>
                </c:pt>
                <c:pt idx="12">
                  <c:v>65435.7</c:v>
                </c:pt>
                <c:pt idx="13">
                  <c:v>88021.8</c:v>
                </c:pt>
                <c:pt idx="14">
                  <c:v>62323.1</c:v>
                </c:pt>
                <c:pt idx="15">
                  <c:v>75895.3</c:v>
                </c:pt>
                <c:pt idx="16">
                  <c:v>68240.2</c:v>
                </c:pt>
                <c:pt idx="17">
                  <c:v>74449.600000000006</c:v>
                </c:pt>
                <c:pt idx="18">
                  <c:v>111366.3</c:v>
                </c:pt>
                <c:pt idx="19">
                  <c:v>111650.7</c:v>
                </c:pt>
                <c:pt idx="20">
                  <c:v>61138.1</c:v>
                </c:pt>
                <c:pt idx="21">
                  <c:v>58041.3</c:v>
                </c:pt>
                <c:pt idx="22">
                  <c:v>69520</c:v>
                </c:pt>
                <c:pt idx="23">
                  <c:v>86007.3</c:v>
                </c:pt>
                <c:pt idx="24">
                  <c:v>74449.600000000006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4A-495D-AAD1-6159CCF624E8}"/>
            </c:ext>
          </c:extLst>
        </c:ser>
        <c:ser>
          <c:idx val="3"/>
          <c:order val="3"/>
          <c:tx>
            <c:strRef>
              <c:f>'Dynamic Table 1'!$E$3:$E$4</c:f>
              <c:strCache>
                <c:ptCount val="1"/>
                <c:pt idx="0">
                  <c:v>wholesale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'Dynamic Table 1'!$A$5:$A$30</c:f>
              <c:strCache>
                <c:ptCount val="25"/>
                <c:pt idx="0">
                  <c:v>01/05/2024</c:v>
                </c:pt>
                <c:pt idx="1">
                  <c:v>01/06/2024</c:v>
                </c:pt>
                <c:pt idx="2">
                  <c:v>01/07/2024</c:v>
                </c:pt>
                <c:pt idx="3">
                  <c:v>01/08/2024</c:v>
                </c:pt>
                <c:pt idx="4">
                  <c:v>01/09/2024</c:v>
                </c:pt>
                <c:pt idx="5">
                  <c:v>01/10/2024</c:v>
                </c:pt>
                <c:pt idx="6">
                  <c:v>01/11/2024</c:v>
                </c:pt>
                <c:pt idx="7">
                  <c:v>01/12/2024</c:v>
                </c:pt>
                <c:pt idx="8">
                  <c:v>01/01/2025</c:v>
                </c:pt>
                <c:pt idx="9">
                  <c:v>01/02/2025</c:v>
                </c:pt>
                <c:pt idx="10">
                  <c:v>01/03/2025</c:v>
                </c:pt>
                <c:pt idx="11">
                  <c:v>01/04/2025</c:v>
                </c:pt>
                <c:pt idx="12">
                  <c:v>01/05/2025</c:v>
                </c:pt>
                <c:pt idx="13">
                  <c:v>01/06/2025</c:v>
                </c:pt>
                <c:pt idx="14">
                  <c:v>01/07/2025</c:v>
                </c:pt>
                <c:pt idx="15">
                  <c:v>01/08/2025</c:v>
                </c:pt>
                <c:pt idx="16">
                  <c:v>01/09/2025</c:v>
                </c:pt>
                <c:pt idx="17">
                  <c:v>01/10/2025</c:v>
                </c:pt>
                <c:pt idx="18">
                  <c:v>01/11/2025</c:v>
                </c:pt>
                <c:pt idx="19">
                  <c:v>01/12/2025</c:v>
                </c:pt>
                <c:pt idx="20">
                  <c:v>01/01/2026</c:v>
                </c:pt>
                <c:pt idx="21">
                  <c:v>01/02/2026</c:v>
                </c:pt>
                <c:pt idx="22">
                  <c:v>01/03/2026</c:v>
                </c:pt>
                <c:pt idx="23">
                  <c:v>01/04/2026</c:v>
                </c:pt>
                <c:pt idx="24">
                  <c:v>01/05/2026</c:v>
                </c:pt>
              </c:strCache>
            </c:strRef>
          </c:cat>
          <c:val>
            <c:numRef>
              <c:f>'Dynamic Table 1'!$E$5:$E$30</c:f>
              <c:numCache>
                <c:formatCode>General</c:formatCode>
                <c:ptCount val="25"/>
                <c:pt idx="0">
                  <c:v>9350</c:v>
                </c:pt>
                <c:pt idx="1">
                  <c:v>67370</c:v>
                </c:pt>
                <c:pt idx="2">
                  <c:v>60660</c:v>
                </c:pt>
                <c:pt idx="3">
                  <c:v>65480</c:v>
                </c:pt>
                <c:pt idx="4">
                  <c:v>63040</c:v>
                </c:pt>
                <c:pt idx="5">
                  <c:v>79560</c:v>
                </c:pt>
                <c:pt idx="6">
                  <c:v>85080</c:v>
                </c:pt>
                <c:pt idx="7">
                  <c:v>94050</c:v>
                </c:pt>
                <c:pt idx="8">
                  <c:v>57330</c:v>
                </c:pt>
                <c:pt idx="9">
                  <c:v>47200</c:v>
                </c:pt>
                <c:pt idx="10">
                  <c:v>67090</c:v>
                </c:pt>
                <c:pt idx="11">
                  <c:v>66630</c:v>
                </c:pt>
                <c:pt idx="12">
                  <c:v>68950</c:v>
                </c:pt>
                <c:pt idx="13">
                  <c:v>85620</c:v>
                </c:pt>
                <c:pt idx="14">
                  <c:v>82940</c:v>
                </c:pt>
                <c:pt idx="15">
                  <c:v>69330</c:v>
                </c:pt>
                <c:pt idx="16">
                  <c:v>69850</c:v>
                </c:pt>
                <c:pt idx="17">
                  <c:v>74990</c:v>
                </c:pt>
                <c:pt idx="18">
                  <c:v>93660</c:v>
                </c:pt>
                <c:pt idx="19">
                  <c:v>115400</c:v>
                </c:pt>
                <c:pt idx="20">
                  <c:v>68530</c:v>
                </c:pt>
                <c:pt idx="21">
                  <c:v>55050</c:v>
                </c:pt>
                <c:pt idx="22">
                  <c:v>83900</c:v>
                </c:pt>
                <c:pt idx="23">
                  <c:v>93690</c:v>
                </c:pt>
                <c:pt idx="24">
                  <c:v>84940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4A-495D-AAD1-6159CCF624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7431615"/>
        <c:axId val="1557426815"/>
      </c:lineChart>
      <c:catAx>
        <c:axId val="1557431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57426815"/>
        <c:crosses val="autoZero"/>
        <c:auto val="1"/>
        <c:lblAlgn val="ctr"/>
        <c:lblOffset val="100"/>
        <c:noMultiLvlLbl val="0"/>
      </c:catAx>
      <c:valAx>
        <c:axId val="1557426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57431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[Dashboard.xlsx]Dynamic Table 1!TablaDinámica2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'Dynamic Table 1'!$B$32:$B$33</c:f>
              <c:strCache>
                <c:ptCount val="1"/>
                <c:pt idx="0">
                  <c:v>marketplace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'Dynamic Table 1'!$A$34:$A$59</c:f>
              <c:strCache>
                <c:ptCount val="25"/>
                <c:pt idx="0">
                  <c:v>01/05/2024</c:v>
                </c:pt>
                <c:pt idx="1">
                  <c:v>01/06/2024</c:v>
                </c:pt>
                <c:pt idx="2">
                  <c:v>01/07/2024</c:v>
                </c:pt>
                <c:pt idx="3">
                  <c:v>01/08/2024</c:v>
                </c:pt>
                <c:pt idx="4">
                  <c:v>01/09/2024</c:v>
                </c:pt>
                <c:pt idx="5">
                  <c:v>01/10/2024</c:v>
                </c:pt>
                <c:pt idx="6">
                  <c:v>01/11/2024</c:v>
                </c:pt>
                <c:pt idx="7">
                  <c:v>01/12/2024</c:v>
                </c:pt>
                <c:pt idx="8">
                  <c:v>01/01/2025</c:v>
                </c:pt>
                <c:pt idx="9">
                  <c:v>01/02/2025</c:v>
                </c:pt>
                <c:pt idx="10">
                  <c:v>01/03/2025</c:v>
                </c:pt>
                <c:pt idx="11">
                  <c:v>01/04/2025</c:v>
                </c:pt>
                <c:pt idx="12">
                  <c:v>01/05/2025</c:v>
                </c:pt>
                <c:pt idx="13">
                  <c:v>01/06/2025</c:v>
                </c:pt>
                <c:pt idx="14">
                  <c:v>01/07/2025</c:v>
                </c:pt>
                <c:pt idx="15">
                  <c:v>01/08/2025</c:v>
                </c:pt>
                <c:pt idx="16">
                  <c:v>01/09/2025</c:v>
                </c:pt>
                <c:pt idx="17">
                  <c:v>01/10/2025</c:v>
                </c:pt>
                <c:pt idx="18">
                  <c:v>01/11/2025</c:v>
                </c:pt>
                <c:pt idx="19">
                  <c:v>01/12/2025</c:v>
                </c:pt>
                <c:pt idx="20">
                  <c:v>01/01/2026</c:v>
                </c:pt>
                <c:pt idx="21">
                  <c:v>01/02/2026</c:v>
                </c:pt>
                <c:pt idx="22">
                  <c:v>01/03/2026</c:v>
                </c:pt>
                <c:pt idx="23">
                  <c:v>01/04/2026</c:v>
                </c:pt>
                <c:pt idx="24">
                  <c:v>01/05/2026</c:v>
                </c:pt>
              </c:strCache>
            </c:strRef>
          </c:cat>
          <c:val>
            <c:numRef>
              <c:f>'Dynamic Table 1'!$B$34:$B$59</c:f>
              <c:numCache>
                <c:formatCode>General</c:formatCode>
                <c:ptCount val="25"/>
                <c:pt idx="0">
                  <c:v>1</c:v>
                </c:pt>
                <c:pt idx="1">
                  <c:v>9.18367346938775E-2</c:v>
                </c:pt>
                <c:pt idx="2">
                  <c:v>0.146788990825688</c:v>
                </c:pt>
                <c:pt idx="3">
                  <c:v>0.13559322033898299</c:v>
                </c:pt>
                <c:pt idx="4">
                  <c:v>0.1388888888888889</c:v>
                </c:pt>
                <c:pt idx="5">
                  <c:v>0.15748031496062989</c:v>
                </c:pt>
                <c:pt idx="6">
                  <c:v>0.175438596491228</c:v>
                </c:pt>
                <c:pt idx="7">
                  <c:v>0.1823204419889502</c:v>
                </c:pt>
                <c:pt idx="8">
                  <c:v>0.1041666666666666</c:v>
                </c:pt>
                <c:pt idx="9">
                  <c:v>0.15306122448979589</c:v>
                </c:pt>
                <c:pt idx="10">
                  <c:v>0.10679611650485429</c:v>
                </c:pt>
                <c:pt idx="11">
                  <c:v>0.12837837837837829</c:v>
                </c:pt>
                <c:pt idx="12">
                  <c:v>0.16149068322981361</c:v>
                </c:pt>
                <c:pt idx="13">
                  <c:v>0.15231788079470199</c:v>
                </c:pt>
                <c:pt idx="14">
                  <c:v>0.1310344827586207</c:v>
                </c:pt>
                <c:pt idx="15">
                  <c:v>0.109090909090909</c:v>
                </c:pt>
                <c:pt idx="16">
                  <c:v>0.1418439716312056</c:v>
                </c:pt>
                <c:pt idx="17">
                  <c:v>0.16279069767441859</c:v>
                </c:pt>
                <c:pt idx="18">
                  <c:v>0.13989637305699479</c:v>
                </c:pt>
                <c:pt idx="19">
                  <c:v>9.6256684491978606E-2</c:v>
                </c:pt>
                <c:pt idx="20">
                  <c:v>0.19402985074626861</c:v>
                </c:pt>
                <c:pt idx="21">
                  <c:v>0.2</c:v>
                </c:pt>
                <c:pt idx="22">
                  <c:v>0.1151515151515151</c:v>
                </c:pt>
                <c:pt idx="23">
                  <c:v>0.14723926380368099</c:v>
                </c:pt>
                <c:pt idx="24">
                  <c:v>0.1520467836257309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32-40C8-B4A0-70174CCAA77B}"/>
            </c:ext>
          </c:extLst>
        </c:ser>
        <c:ser>
          <c:idx val="1"/>
          <c:order val="1"/>
          <c:tx>
            <c:strRef>
              <c:f>'Dynamic Table 1'!$C$32:$C$33</c:f>
              <c:strCache>
                <c:ptCount val="1"/>
                <c:pt idx="0">
                  <c:v>online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'Dynamic Table 1'!$A$34:$A$59</c:f>
              <c:strCache>
                <c:ptCount val="25"/>
                <c:pt idx="0">
                  <c:v>01/05/2024</c:v>
                </c:pt>
                <c:pt idx="1">
                  <c:v>01/06/2024</c:v>
                </c:pt>
                <c:pt idx="2">
                  <c:v>01/07/2024</c:v>
                </c:pt>
                <c:pt idx="3">
                  <c:v>01/08/2024</c:v>
                </c:pt>
                <c:pt idx="4">
                  <c:v>01/09/2024</c:v>
                </c:pt>
                <c:pt idx="5">
                  <c:v>01/10/2024</c:v>
                </c:pt>
                <c:pt idx="6">
                  <c:v>01/11/2024</c:v>
                </c:pt>
                <c:pt idx="7">
                  <c:v>01/12/2024</c:v>
                </c:pt>
                <c:pt idx="8">
                  <c:v>01/01/2025</c:v>
                </c:pt>
                <c:pt idx="9">
                  <c:v>01/02/2025</c:v>
                </c:pt>
                <c:pt idx="10">
                  <c:v>01/03/2025</c:v>
                </c:pt>
                <c:pt idx="11">
                  <c:v>01/04/2025</c:v>
                </c:pt>
                <c:pt idx="12">
                  <c:v>01/05/2025</c:v>
                </c:pt>
                <c:pt idx="13">
                  <c:v>01/06/2025</c:v>
                </c:pt>
                <c:pt idx="14">
                  <c:v>01/07/2025</c:v>
                </c:pt>
                <c:pt idx="15">
                  <c:v>01/08/2025</c:v>
                </c:pt>
                <c:pt idx="16">
                  <c:v>01/09/2025</c:v>
                </c:pt>
                <c:pt idx="17">
                  <c:v>01/10/2025</c:v>
                </c:pt>
                <c:pt idx="18">
                  <c:v>01/11/2025</c:v>
                </c:pt>
                <c:pt idx="19">
                  <c:v>01/12/2025</c:v>
                </c:pt>
                <c:pt idx="20">
                  <c:v>01/01/2026</c:v>
                </c:pt>
                <c:pt idx="21">
                  <c:v>01/02/2026</c:v>
                </c:pt>
                <c:pt idx="22">
                  <c:v>01/03/2026</c:v>
                </c:pt>
                <c:pt idx="23">
                  <c:v>01/04/2026</c:v>
                </c:pt>
                <c:pt idx="24">
                  <c:v>01/05/2026</c:v>
                </c:pt>
              </c:strCache>
            </c:strRef>
          </c:cat>
          <c:val>
            <c:numRef>
              <c:f>'Dynamic Table 1'!$C$34:$C$59</c:f>
              <c:numCache>
                <c:formatCode>General</c:formatCode>
                <c:ptCount val="25"/>
                <c:pt idx="0">
                  <c:v>0.17985611510791361</c:v>
                </c:pt>
                <c:pt idx="1">
                  <c:v>0.18290960451977401</c:v>
                </c:pt>
                <c:pt idx="2">
                  <c:v>0.1714490674318507</c:v>
                </c:pt>
                <c:pt idx="3">
                  <c:v>0.18754633061527051</c:v>
                </c:pt>
                <c:pt idx="4">
                  <c:v>0.18106060606060601</c:v>
                </c:pt>
                <c:pt idx="5">
                  <c:v>0.1960916442048517</c:v>
                </c:pt>
                <c:pt idx="6">
                  <c:v>0.16116611661166111</c:v>
                </c:pt>
                <c:pt idx="7">
                  <c:v>0.17125688532799199</c:v>
                </c:pt>
                <c:pt idx="8">
                  <c:v>0.18405428329092449</c:v>
                </c:pt>
                <c:pt idx="9">
                  <c:v>0.18762088974854929</c:v>
                </c:pt>
                <c:pt idx="10">
                  <c:v>0.17847025495750701</c:v>
                </c:pt>
                <c:pt idx="11">
                  <c:v>0.1906666666666666</c:v>
                </c:pt>
                <c:pt idx="12">
                  <c:v>0.166358595194085</c:v>
                </c:pt>
                <c:pt idx="13">
                  <c:v>0.1802869619463506</c:v>
                </c:pt>
                <c:pt idx="14">
                  <c:v>0.1904474002418379</c:v>
                </c:pt>
                <c:pt idx="15">
                  <c:v>0.1762028608582574</c:v>
                </c:pt>
                <c:pt idx="16">
                  <c:v>0.17973462002412541</c:v>
                </c:pt>
                <c:pt idx="17">
                  <c:v>0.18478260869565211</c:v>
                </c:pt>
                <c:pt idx="18">
                  <c:v>0.1774042950513538</c:v>
                </c:pt>
                <c:pt idx="19">
                  <c:v>0.17979797979797971</c:v>
                </c:pt>
                <c:pt idx="20">
                  <c:v>0.177762982689747</c:v>
                </c:pt>
                <c:pt idx="21">
                  <c:v>0.1631863882443928</c:v>
                </c:pt>
                <c:pt idx="22">
                  <c:v>0.1757439640651319</c:v>
                </c:pt>
                <c:pt idx="23">
                  <c:v>0.1778023191606847</c:v>
                </c:pt>
                <c:pt idx="24">
                  <c:v>0.18136714443219401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32-40C8-B4A0-70174CCAA77B}"/>
            </c:ext>
          </c:extLst>
        </c:ser>
        <c:ser>
          <c:idx val="2"/>
          <c:order val="2"/>
          <c:tx>
            <c:strRef>
              <c:f>'Dynamic Table 1'!$D$32:$D$33</c:f>
              <c:strCache>
                <c:ptCount val="1"/>
                <c:pt idx="0">
                  <c:v>retail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'Dynamic Table 1'!$A$34:$A$59</c:f>
              <c:strCache>
                <c:ptCount val="25"/>
                <c:pt idx="0">
                  <c:v>01/05/2024</c:v>
                </c:pt>
                <c:pt idx="1">
                  <c:v>01/06/2024</c:v>
                </c:pt>
                <c:pt idx="2">
                  <c:v>01/07/2024</c:v>
                </c:pt>
                <c:pt idx="3">
                  <c:v>01/08/2024</c:v>
                </c:pt>
                <c:pt idx="4">
                  <c:v>01/09/2024</c:v>
                </c:pt>
                <c:pt idx="5">
                  <c:v>01/10/2024</c:v>
                </c:pt>
                <c:pt idx="6">
                  <c:v>01/11/2024</c:v>
                </c:pt>
                <c:pt idx="7">
                  <c:v>01/12/2024</c:v>
                </c:pt>
                <c:pt idx="8">
                  <c:v>01/01/2025</c:v>
                </c:pt>
                <c:pt idx="9">
                  <c:v>01/02/2025</c:v>
                </c:pt>
                <c:pt idx="10">
                  <c:v>01/03/2025</c:v>
                </c:pt>
                <c:pt idx="11">
                  <c:v>01/04/2025</c:v>
                </c:pt>
                <c:pt idx="12">
                  <c:v>01/05/2025</c:v>
                </c:pt>
                <c:pt idx="13">
                  <c:v>01/06/2025</c:v>
                </c:pt>
                <c:pt idx="14">
                  <c:v>01/07/2025</c:v>
                </c:pt>
                <c:pt idx="15">
                  <c:v>01/08/2025</c:v>
                </c:pt>
                <c:pt idx="16">
                  <c:v>01/09/2025</c:v>
                </c:pt>
                <c:pt idx="17">
                  <c:v>01/10/2025</c:v>
                </c:pt>
                <c:pt idx="18">
                  <c:v>01/11/2025</c:v>
                </c:pt>
                <c:pt idx="19">
                  <c:v>01/12/2025</c:v>
                </c:pt>
                <c:pt idx="20">
                  <c:v>01/01/2026</c:v>
                </c:pt>
                <c:pt idx="21">
                  <c:v>01/02/2026</c:v>
                </c:pt>
                <c:pt idx="22">
                  <c:v>01/03/2026</c:v>
                </c:pt>
                <c:pt idx="23">
                  <c:v>01/04/2026</c:v>
                </c:pt>
                <c:pt idx="24">
                  <c:v>01/05/2026</c:v>
                </c:pt>
              </c:strCache>
            </c:strRef>
          </c:cat>
          <c:val>
            <c:numRef>
              <c:f>'Dynamic Table 1'!$D$34:$D$59</c:f>
              <c:numCache>
                <c:formatCode>General</c:formatCode>
                <c:ptCount val="25"/>
                <c:pt idx="0">
                  <c:v>0.1951219512195122</c:v>
                </c:pt>
                <c:pt idx="1">
                  <c:v>0.1285140562248995</c:v>
                </c:pt>
                <c:pt idx="2">
                  <c:v>0.15345268542199481</c:v>
                </c:pt>
                <c:pt idx="3">
                  <c:v>0.1381074168797953</c:v>
                </c:pt>
                <c:pt idx="4">
                  <c:v>0.1396396396396396</c:v>
                </c:pt>
                <c:pt idx="5">
                  <c:v>0.1452830188679245</c:v>
                </c:pt>
                <c:pt idx="6">
                  <c:v>0.1306451612903225</c:v>
                </c:pt>
                <c:pt idx="7">
                  <c:v>8.8195386702849293E-2</c:v>
                </c:pt>
                <c:pt idx="8">
                  <c:v>0.1147540983606557</c:v>
                </c:pt>
                <c:pt idx="9">
                  <c:v>8.4592145015105702E-2</c:v>
                </c:pt>
                <c:pt idx="10">
                  <c:v>0.125</c:v>
                </c:pt>
                <c:pt idx="11">
                  <c:v>0.1570247933884297</c:v>
                </c:pt>
                <c:pt idx="12">
                  <c:v>0.13424124513618671</c:v>
                </c:pt>
                <c:pt idx="13">
                  <c:v>0.1303630363036303</c:v>
                </c:pt>
                <c:pt idx="14">
                  <c:v>0.18106995884773661</c:v>
                </c:pt>
                <c:pt idx="15">
                  <c:v>9.7785977859778495E-2</c:v>
                </c:pt>
                <c:pt idx="16">
                  <c:v>0.13487475915221581</c:v>
                </c:pt>
                <c:pt idx="17">
                  <c:v>0.14721723518850979</c:v>
                </c:pt>
                <c:pt idx="18">
                  <c:v>0.1493670886075949</c:v>
                </c:pt>
                <c:pt idx="19">
                  <c:v>0.12409638554216861</c:v>
                </c:pt>
                <c:pt idx="20">
                  <c:v>0.14806866952789699</c:v>
                </c:pt>
                <c:pt idx="21">
                  <c:v>0.14380530973451319</c:v>
                </c:pt>
                <c:pt idx="22">
                  <c:v>0.13793103448275859</c:v>
                </c:pt>
                <c:pt idx="23">
                  <c:v>0.1414634146341463</c:v>
                </c:pt>
                <c:pt idx="24">
                  <c:v>0.13660245183887909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32-40C8-B4A0-70174CCAA77B}"/>
            </c:ext>
          </c:extLst>
        </c:ser>
        <c:ser>
          <c:idx val="3"/>
          <c:order val="3"/>
          <c:tx>
            <c:strRef>
              <c:f>'Dynamic Table 1'!$E$32:$E$33</c:f>
              <c:strCache>
                <c:ptCount val="1"/>
                <c:pt idx="0">
                  <c:v>wholesale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'Dynamic Table 1'!$A$34:$A$59</c:f>
              <c:strCache>
                <c:ptCount val="25"/>
                <c:pt idx="0">
                  <c:v>01/05/2024</c:v>
                </c:pt>
                <c:pt idx="1">
                  <c:v>01/06/2024</c:v>
                </c:pt>
                <c:pt idx="2">
                  <c:v>01/07/2024</c:v>
                </c:pt>
                <c:pt idx="3">
                  <c:v>01/08/2024</c:v>
                </c:pt>
                <c:pt idx="4">
                  <c:v>01/09/2024</c:v>
                </c:pt>
                <c:pt idx="5">
                  <c:v>01/10/2024</c:v>
                </c:pt>
                <c:pt idx="6">
                  <c:v>01/11/2024</c:v>
                </c:pt>
                <c:pt idx="7">
                  <c:v>01/12/2024</c:v>
                </c:pt>
                <c:pt idx="8">
                  <c:v>01/01/2025</c:v>
                </c:pt>
                <c:pt idx="9">
                  <c:v>01/02/2025</c:v>
                </c:pt>
                <c:pt idx="10">
                  <c:v>01/03/2025</c:v>
                </c:pt>
                <c:pt idx="11">
                  <c:v>01/04/2025</c:v>
                </c:pt>
                <c:pt idx="12">
                  <c:v>01/05/2025</c:v>
                </c:pt>
                <c:pt idx="13">
                  <c:v>01/06/2025</c:v>
                </c:pt>
                <c:pt idx="14">
                  <c:v>01/07/2025</c:v>
                </c:pt>
                <c:pt idx="15">
                  <c:v>01/08/2025</c:v>
                </c:pt>
                <c:pt idx="16">
                  <c:v>01/09/2025</c:v>
                </c:pt>
                <c:pt idx="17">
                  <c:v>01/10/2025</c:v>
                </c:pt>
                <c:pt idx="18">
                  <c:v>01/11/2025</c:v>
                </c:pt>
                <c:pt idx="19">
                  <c:v>01/12/2025</c:v>
                </c:pt>
                <c:pt idx="20">
                  <c:v>01/01/2026</c:v>
                </c:pt>
                <c:pt idx="21">
                  <c:v>01/02/2026</c:v>
                </c:pt>
                <c:pt idx="22">
                  <c:v>01/03/2026</c:v>
                </c:pt>
                <c:pt idx="23">
                  <c:v>01/04/2026</c:v>
                </c:pt>
                <c:pt idx="24">
                  <c:v>01/05/2026</c:v>
                </c:pt>
              </c:strCache>
            </c:strRef>
          </c:cat>
          <c:val>
            <c:numRef>
              <c:f>'Dynamic Table 1'!$E$34:$E$59</c:f>
              <c:numCache>
                <c:formatCode>General</c:formatCode>
                <c:ptCount val="25"/>
                <c:pt idx="0">
                  <c:v>2.27272727272727E-2</c:v>
                </c:pt>
                <c:pt idx="1">
                  <c:v>2.2922636103151799E-2</c:v>
                </c:pt>
                <c:pt idx="2">
                  <c:v>3.7735849056603703E-2</c:v>
                </c:pt>
                <c:pt idx="3">
                  <c:v>5.0847457627118599E-2</c:v>
                </c:pt>
                <c:pt idx="4">
                  <c:v>2.07100591715976E-2</c:v>
                </c:pt>
                <c:pt idx="5">
                  <c:v>3.8461538461538401E-2</c:v>
                </c:pt>
                <c:pt idx="6">
                  <c:v>4.1002277904327998E-2</c:v>
                </c:pt>
                <c:pt idx="7">
                  <c:v>4.6421663442939999E-2</c:v>
                </c:pt>
                <c:pt idx="8">
                  <c:v>6.6878980891719703E-2</c:v>
                </c:pt>
                <c:pt idx="9">
                  <c:v>5.859375E-2</c:v>
                </c:pt>
                <c:pt idx="10">
                  <c:v>4.94505494505494E-2</c:v>
                </c:pt>
                <c:pt idx="11">
                  <c:v>4.54545454545454E-2</c:v>
                </c:pt>
                <c:pt idx="12">
                  <c:v>4.7368421052631497E-2</c:v>
                </c:pt>
                <c:pt idx="13">
                  <c:v>3.8202247191011202E-2</c:v>
                </c:pt>
                <c:pt idx="14">
                  <c:v>4.1189931350114402E-2</c:v>
                </c:pt>
                <c:pt idx="15">
                  <c:v>1.9073569482288801E-2</c:v>
                </c:pt>
                <c:pt idx="16">
                  <c:v>5.3908355795148202E-2</c:v>
                </c:pt>
                <c:pt idx="17">
                  <c:v>5.0761421319796898E-2</c:v>
                </c:pt>
                <c:pt idx="18">
                  <c:v>5.1759834368530003E-2</c:v>
                </c:pt>
                <c:pt idx="19">
                  <c:v>3.6565977742448297E-2</c:v>
                </c:pt>
                <c:pt idx="20">
                  <c:v>3.3240997229916899E-2</c:v>
                </c:pt>
                <c:pt idx="21">
                  <c:v>3.7288135593220299E-2</c:v>
                </c:pt>
                <c:pt idx="22">
                  <c:v>3.06603773584905E-2</c:v>
                </c:pt>
                <c:pt idx="23">
                  <c:v>3.9337474120082802E-2</c:v>
                </c:pt>
                <c:pt idx="24">
                  <c:v>4.6620046620046603E-2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232-40C8-B4A0-70174CCAA7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7427295"/>
        <c:axId val="1557431135"/>
      </c:lineChart>
      <c:catAx>
        <c:axId val="1557427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57431135"/>
        <c:crosses val="autoZero"/>
        <c:auto val="1"/>
        <c:lblAlgn val="ctr"/>
        <c:lblOffset val="100"/>
        <c:noMultiLvlLbl val="0"/>
      </c:catAx>
      <c:valAx>
        <c:axId val="1557431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57427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[Dashboard.xlsx]Dynamic Table 1!TablaDinámica5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'Dynamic Table 1'!$B$61</c:f>
              <c:strCache>
                <c:ptCount val="1"/>
                <c:pt idx="0">
                  <c:v>Suma de realized_net_sales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'Dynamic Table 1'!$A$62:$A$66</c:f>
              <c:strCache>
                <c:ptCount val="4"/>
                <c:pt idx="0">
                  <c:v>marketplace</c:v>
                </c:pt>
                <c:pt idx="1">
                  <c:v>online</c:v>
                </c:pt>
                <c:pt idx="2">
                  <c:v>retail</c:v>
                </c:pt>
                <c:pt idx="3">
                  <c:v>wholesale</c:v>
                </c:pt>
              </c:strCache>
            </c:strRef>
          </c:cat>
          <c:val>
            <c:numRef>
              <c:f>'Dynamic Table 1'!$B$62:$B$66</c:f>
              <c:numCache>
                <c:formatCode>General</c:formatCode>
                <c:ptCount val="4"/>
                <c:pt idx="0">
                  <c:v>443126.8</c:v>
                </c:pt>
                <c:pt idx="1">
                  <c:v>4988320.7</c:v>
                </c:pt>
                <c:pt idx="2">
                  <c:v>1734595.1</c:v>
                </c:pt>
                <c:pt idx="3">
                  <c:v>1809690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56-4685-976E-14D770CE9A7B}"/>
            </c:ext>
          </c:extLst>
        </c:ser>
        <c:ser>
          <c:idx val="1"/>
          <c:order val="1"/>
          <c:tx>
            <c:strRef>
              <c:f>'Dynamic Table 1'!$C$61</c:f>
              <c:strCache>
                <c:ptCount val="1"/>
                <c:pt idx="0">
                  <c:v>Suma de returned_sales_value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'Dynamic Table 1'!$A$62:$A$66</c:f>
              <c:strCache>
                <c:ptCount val="4"/>
                <c:pt idx="0">
                  <c:v>marketplace</c:v>
                </c:pt>
                <c:pt idx="1">
                  <c:v>online</c:v>
                </c:pt>
                <c:pt idx="2">
                  <c:v>retail</c:v>
                </c:pt>
                <c:pt idx="3">
                  <c:v>wholesale</c:v>
                </c:pt>
              </c:strCache>
            </c:strRef>
          </c:cat>
          <c:val>
            <c:numRef>
              <c:f>'Dynamic Table 1'!$C$62:$C$66</c:f>
              <c:numCache>
                <c:formatCode>General</c:formatCode>
                <c:ptCount val="4"/>
                <c:pt idx="0">
                  <c:v>72593.100000000006</c:v>
                </c:pt>
                <c:pt idx="1">
                  <c:v>1085049.2</c:v>
                </c:pt>
                <c:pt idx="2">
                  <c:v>272889.7</c:v>
                </c:pt>
                <c:pt idx="3">
                  <c:v>79850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56-4685-976E-14D770CE9A7B}"/>
            </c:ext>
          </c:extLst>
        </c:ser>
        <c:ser>
          <c:idx val="2"/>
          <c:order val="2"/>
          <c:tx>
            <c:strRef>
              <c:f>'Dynamic Table 1'!$D$61</c:f>
              <c:strCache>
                <c:ptCount val="1"/>
                <c:pt idx="0">
                  <c:v>Suma de taxes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'Dynamic Table 1'!$A$62:$A$66</c:f>
              <c:strCache>
                <c:ptCount val="4"/>
                <c:pt idx="0">
                  <c:v>marketplace</c:v>
                </c:pt>
                <c:pt idx="1">
                  <c:v>online</c:v>
                </c:pt>
                <c:pt idx="2">
                  <c:v>retail</c:v>
                </c:pt>
                <c:pt idx="3">
                  <c:v>wholesale</c:v>
                </c:pt>
              </c:strCache>
            </c:strRef>
          </c:cat>
          <c:val>
            <c:numRef>
              <c:f>'Dynamic Table 1'!$D$62:$D$66</c:f>
              <c:numCache>
                <c:formatCode>General</c:formatCode>
                <c:ptCount val="4"/>
                <c:pt idx="0">
                  <c:v>137090.1</c:v>
                </c:pt>
                <c:pt idx="1">
                  <c:v>1614440.1</c:v>
                </c:pt>
                <c:pt idx="2">
                  <c:v>533635.19999999995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D56-4685-976E-14D770CE9A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68517999"/>
        <c:axId val="368521839"/>
      </c:barChart>
      <c:catAx>
        <c:axId val="368517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68521839"/>
        <c:crosses val="autoZero"/>
        <c:auto val="1"/>
        <c:lblAlgn val="ctr"/>
        <c:lblOffset val="100"/>
        <c:noMultiLvlLbl val="0"/>
      </c:catAx>
      <c:valAx>
        <c:axId val="368521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68517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[Dashboard.xlsx]Dynamic Table 2!TablaDinámica1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'Dynamic Table 2'!$B$3</c:f>
              <c:strCache>
                <c:ptCount val="1"/>
                <c:pt idx="0">
                  <c:v>Suma de net_sales_at_sale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'Dynamic Table 2'!$A$4:$A$30</c:f>
              <c:strCache>
                <c:ptCount val="26"/>
                <c:pt idx="0">
                  <c:v>01/05/2024</c:v>
                </c:pt>
                <c:pt idx="1">
                  <c:v>01/06/2024</c:v>
                </c:pt>
                <c:pt idx="2">
                  <c:v>01/07/2024</c:v>
                </c:pt>
                <c:pt idx="3">
                  <c:v>01/08/2024</c:v>
                </c:pt>
                <c:pt idx="4">
                  <c:v>01/09/2024</c:v>
                </c:pt>
                <c:pt idx="5">
                  <c:v>01/10/2024</c:v>
                </c:pt>
                <c:pt idx="6">
                  <c:v>01/11/2024</c:v>
                </c:pt>
                <c:pt idx="7">
                  <c:v>01/12/2024</c:v>
                </c:pt>
                <c:pt idx="8">
                  <c:v>01/01/2025</c:v>
                </c:pt>
                <c:pt idx="9">
                  <c:v>01/02/2025</c:v>
                </c:pt>
                <c:pt idx="10">
                  <c:v>01/03/2025</c:v>
                </c:pt>
                <c:pt idx="11">
                  <c:v>01/04/2025</c:v>
                </c:pt>
                <c:pt idx="12">
                  <c:v>01/05/2025</c:v>
                </c:pt>
                <c:pt idx="13">
                  <c:v>01/06/2025</c:v>
                </c:pt>
                <c:pt idx="14">
                  <c:v>01/07/2025</c:v>
                </c:pt>
                <c:pt idx="15">
                  <c:v>01/08/2025</c:v>
                </c:pt>
                <c:pt idx="16">
                  <c:v>01/09/2025</c:v>
                </c:pt>
                <c:pt idx="17">
                  <c:v>01/10/2025</c:v>
                </c:pt>
                <c:pt idx="18">
                  <c:v>01/11/2025</c:v>
                </c:pt>
                <c:pt idx="19">
                  <c:v>01/12/2025</c:v>
                </c:pt>
                <c:pt idx="20">
                  <c:v>01/01/2026</c:v>
                </c:pt>
                <c:pt idx="21">
                  <c:v>01/02/2026</c:v>
                </c:pt>
                <c:pt idx="22">
                  <c:v>01/03/2026</c:v>
                </c:pt>
                <c:pt idx="23">
                  <c:v>01/04/2026</c:v>
                </c:pt>
                <c:pt idx="24">
                  <c:v>01/05/2026</c:v>
                </c:pt>
                <c:pt idx="25">
                  <c:v>(en blanco)</c:v>
                </c:pt>
              </c:strCache>
            </c:strRef>
          </c:cat>
          <c:val>
            <c:numRef>
              <c:f>'Dynamic Table 2'!$B$4:$B$30</c:f>
              <c:numCache>
                <c:formatCode>General</c:formatCode>
                <c:ptCount val="26"/>
                <c:pt idx="0">
                  <c:v>38161.199999999997</c:v>
                </c:pt>
                <c:pt idx="1">
                  <c:v>379588.5</c:v>
                </c:pt>
                <c:pt idx="2">
                  <c:v>366874.2</c:v>
                </c:pt>
                <c:pt idx="3">
                  <c:v>361475.1</c:v>
                </c:pt>
                <c:pt idx="4">
                  <c:v>356868.60000000003</c:v>
                </c:pt>
                <c:pt idx="5">
                  <c:v>407643.5</c:v>
                </c:pt>
                <c:pt idx="6">
                  <c:v>502103.1</c:v>
                </c:pt>
                <c:pt idx="7">
                  <c:v>550572.19999999995</c:v>
                </c:pt>
                <c:pt idx="8">
                  <c:v>325899.09999999998</c:v>
                </c:pt>
                <c:pt idx="9">
                  <c:v>286495.2</c:v>
                </c:pt>
                <c:pt idx="10">
                  <c:v>383770.6</c:v>
                </c:pt>
                <c:pt idx="11">
                  <c:v>394996</c:v>
                </c:pt>
                <c:pt idx="12">
                  <c:v>424671.1</c:v>
                </c:pt>
                <c:pt idx="13">
                  <c:v>470779</c:v>
                </c:pt>
                <c:pt idx="14">
                  <c:v>441147.3</c:v>
                </c:pt>
                <c:pt idx="15">
                  <c:v>406343.7</c:v>
                </c:pt>
                <c:pt idx="16">
                  <c:v>431281.1</c:v>
                </c:pt>
                <c:pt idx="17">
                  <c:v>455832.2</c:v>
                </c:pt>
                <c:pt idx="18">
                  <c:v>591242.4</c:v>
                </c:pt>
                <c:pt idx="19">
                  <c:v>670827.19999999995</c:v>
                </c:pt>
                <c:pt idx="20">
                  <c:v>402934.9</c:v>
                </c:pt>
                <c:pt idx="21">
                  <c:v>334238.7</c:v>
                </c:pt>
                <c:pt idx="22">
                  <c:v>482357</c:v>
                </c:pt>
                <c:pt idx="23">
                  <c:v>523797.8</c:v>
                </c:pt>
                <c:pt idx="24">
                  <c:v>496214.9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3E-4C31-9864-230F75467879}"/>
            </c:ext>
          </c:extLst>
        </c:ser>
        <c:ser>
          <c:idx val="1"/>
          <c:order val="1"/>
          <c:tx>
            <c:strRef>
              <c:f>'Dynamic Table 2'!$C$3</c:f>
              <c:strCache>
                <c:ptCount val="1"/>
                <c:pt idx="0">
                  <c:v>Suma de realized_net_sales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'Dynamic Table 2'!$A$4:$A$30</c:f>
              <c:strCache>
                <c:ptCount val="26"/>
                <c:pt idx="0">
                  <c:v>01/05/2024</c:v>
                </c:pt>
                <c:pt idx="1">
                  <c:v>01/06/2024</c:v>
                </c:pt>
                <c:pt idx="2">
                  <c:v>01/07/2024</c:v>
                </c:pt>
                <c:pt idx="3">
                  <c:v>01/08/2024</c:v>
                </c:pt>
                <c:pt idx="4">
                  <c:v>01/09/2024</c:v>
                </c:pt>
                <c:pt idx="5">
                  <c:v>01/10/2024</c:v>
                </c:pt>
                <c:pt idx="6">
                  <c:v>01/11/2024</c:v>
                </c:pt>
                <c:pt idx="7">
                  <c:v>01/12/2024</c:v>
                </c:pt>
                <c:pt idx="8">
                  <c:v>01/01/2025</c:v>
                </c:pt>
                <c:pt idx="9">
                  <c:v>01/02/2025</c:v>
                </c:pt>
                <c:pt idx="10">
                  <c:v>01/03/2025</c:v>
                </c:pt>
                <c:pt idx="11">
                  <c:v>01/04/2025</c:v>
                </c:pt>
                <c:pt idx="12">
                  <c:v>01/05/2025</c:v>
                </c:pt>
                <c:pt idx="13">
                  <c:v>01/06/2025</c:v>
                </c:pt>
                <c:pt idx="14">
                  <c:v>01/07/2025</c:v>
                </c:pt>
                <c:pt idx="15">
                  <c:v>01/08/2025</c:v>
                </c:pt>
                <c:pt idx="16">
                  <c:v>01/09/2025</c:v>
                </c:pt>
                <c:pt idx="17">
                  <c:v>01/10/2025</c:v>
                </c:pt>
                <c:pt idx="18">
                  <c:v>01/11/2025</c:v>
                </c:pt>
                <c:pt idx="19">
                  <c:v>01/12/2025</c:v>
                </c:pt>
                <c:pt idx="20">
                  <c:v>01/01/2026</c:v>
                </c:pt>
                <c:pt idx="21">
                  <c:v>01/02/2026</c:v>
                </c:pt>
                <c:pt idx="22">
                  <c:v>01/03/2026</c:v>
                </c:pt>
                <c:pt idx="23">
                  <c:v>01/04/2026</c:v>
                </c:pt>
                <c:pt idx="24">
                  <c:v>01/05/2026</c:v>
                </c:pt>
                <c:pt idx="25">
                  <c:v>(en blanco)</c:v>
                </c:pt>
              </c:strCache>
            </c:strRef>
          </c:cat>
          <c:val>
            <c:numRef>
              <c:f>'Dynamic Table 2'!$C$4:$C$30</c:f>
              <c:numCache>
                <c:formatCode>General</c:formatCode>
                <c:ptCount val="26"/>
                <c:pt idx="0">
                  <c:v>32038.799999999999</c:v>
                </c:pt>
                <c:pt idx="1">
                  <c:v>322690.09999999998</c:v>
                </c:pt>
                <c:pt idx="2">
                  <c:v>315774.7</c:v>
                </c:pt>
                <c:pt idx="3">
                  <c:v>307378</c:v>
                </c:pt>
                <c:pt idx="4">
                  <c:v>304361.3</c:v>
                </c:pt>
                <c:pt idx="5">
                  <c:v>343443.7</c:v>
                </c:pt>
                <c:pt idx="6">
                  <c:v>433849.19999999995</c:v>
                </c:pt>
                <c:pt idx="7">
                  <c:v>476244.10000000003</c:v>
                </c:pt>
                <c:pt idx="8">
                  <c:v>277787.40000000002</c:v>
                </c:pt>
                <c:pt idx="9">
                  <c:v>246359</c:v>
                </c:pt>
                <c:pt idx="10">
                  <c:v>326115.20000000001</c:v>
                </c:pt>
                <c:pt idx="11">
                  <c:v>333389.3</c:v>
                </c:pt>
                <c:pt idx="12">
                  <c:v>361921.5</c:v>
                </c:pt>
                <c:pt idx="13">
                  <c:v>409227.7</c:v>
                </c:pt>
                <c:pt idx="14">
                  <c:v>371795.6</c:v>
                </c:pt>
                <c:pt idx="15">
                  <c:v>351897.2</c:v>
                </c:pt>
                <c:pt idx="16">
                  <c:v>370121.1</c:v>
                </c:pt>
                <c:pt idx="17">
                  <c:v>389346.8</c:v>
                </c:pt>
                <c:pt idx="18">
                  <c:v>509942.6</c:v>
                </c:pt>
                <c:pt idx="19">
                  <c:v>576112.19999999995</c:v>
                </c:pt>
                <c:pt idx="20">
                  <c:v>343007.6</c:v>
                </c:pt>
                <c:pt idx="21">
                  <c:v>286994</c:v>
                </c:pt>
                <c:pt idx="22">
                  <c:v>411955.4</c:v>
                </c:pt>
                <c:pt idx="23">
                  <c:v>448889.8</c:v>
                </c:pt>
                <c:pt idx="24">
                  <c:v>425090.30000000005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3E-4C31-9864-230F754678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850240"/>
        <c:axId val="44859840"/>
      </c:lineChart>
      <c:catAx>
        <c:axId val="44850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4859840"/>
        <c:crosses val="autoZero"/>
        <c:auto val="1"/>
        <c:lblAlgn val="ctr"/>
        <c:lblOffset val="100"/>
        <c:noMultiLvlLbl val="0"/>
      </c:catAx>
      <c:valAx>
        <c:axId val="4485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4850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761440</xdr:colOff>
      <xdr:row>6</xdr:row>
      <xdr:rowOff>98611</xdr:rowOff>
    </xdr:from>
    <xdr:to>
      <xdr:col>8</xdr:col>
      <xdr:colOff>380999</xdr:colOff>
      <xdr:row>25</xdr:row>
      <xdr:rowOff>17649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D1EBE8F-C7CD-4F53-996D-E468EE7B1F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537322</xdr:colOff>
      <xdr:row>6</xdr:row>
      <xdr:rowOff>130549</xdr:rowOff>
    </xdr:from>
    <xdr:to>
      <xdr:col>16</xdr:col>
      <xdr:colOff>289672</xdr:colOff>
      <xdr:row>25</xdr:row>
      <xdr:rowOff>6724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83ED0A9-30A1-4BAC-BD34-F1E56AC005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546846</xdr:colOff>
      <xdr:row>25</xdr:row>
      <xdr:rowOff>163606</xdr:rowOff>
    </xdr:from>
    <xdr:to>
      <xdr:col>16</xdr:col>
      <xdr:colOff>251571</xdr:colOff>
      <xdr:row>42</xdr:row>
      <xdr:rowOff>144556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3CC5F6B-14A8-4ADF-BB8B-1A54CF1949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45</xdr:row>
      <xdr:rowOff>190499</xdr:rowOff>
    </xdr:from>
    <xdr:to>
      <xdr:col>8</xdr:col>
      <xdr:colOff>381000</xdr:colOff>
      <xdr:row>63</xdr:row>
      <xdr:rowOff>112058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1817DC2-8EB0-43B0-AD10-DC2C8E84BB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hongkai Dai" refreshedDate="46250.818526736111" createdVersion="8" refreshedVersion="8" minRefreshableVersion="3" recordCount="100" xr:uid="{3DFCFD0C-4518-47F3-994C-7E5019217462}">
  <cacheSource type="worksheet">
    <worksheetSource name="export_1A_excel"/>
  </cacheSource>
  <cacheFields count="15">
    <cacheField name="year_month" numFmtId="14">
      <sharedItems containsSemiMixedTypes="0" containsNonDate="0" containsDate="1" containsString="0" minDate="2024-05-01T00:00:00" maxDate="2026-05-02T00:00:00" count="25"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d v="2026-01-01T00:00:00"/>
        <d v="2026-02-01T00:00:00"/>
        <d v="2026-03-01T00:00:00"/>
        <d v="2026-04-01T00:00:00"/>
        <d v="2026-05-01T00:00:00"/>
      </sharedItems>
      <fieldGroup par="14"/>
    </cacheField>
    <cacheField name="channel" numFmtId="0">
      <sharedItems count="4">
        <s v="marketplace"/>
        <s v="online"/>
        <s v="retail"/>
        <s v="wholesale"/>
      </sharedItems>
    </cacheField>
    <cacheField name="units_sold" numFmtId="0">
      <sharedItems containsSemiMixedTypes="0" containsString="0" containsNumber="1" containsInteger="1" minValue="3" maxValue="2475"/>
    </cacheField>
    <cacheField name="units_returned" numFmtId="0">
      <sharedItems containsSemiMixedTypes="0" containsString="0" containsNumber="1" containsInteger="1" minValue="1" maxValue="445"/>
    </cacheField>
    <cacheField name="gross_sales" numFmtId="0">
      <sharedItems containsSemiMixedTypes="0" containsString="0" containsNumber="1" containsInteger="1" minValue="490" maxValue="501600"/>
    </cacheField>
    <cacheField name="taxes" numFmtId="0">
      <sharedItems containsSemiMixedTypes="0" containsString="0" containsNumber="1" minValue="0" maxValue="105336"/>
    </cacheField>
    <cacheField name="net_sales" numFmtId="0">
      <sharedItems containsSemiMixedTypes="0" containsString="0" containsNumber="1" minValue="387.1" maxValue="396264"/>
    </cacheField>
    <cacheField name="returned_sales_value" numFmtId="0">
      <sharedItems containsSemiMixedTypes="0" containsString="0" containsNumber="1" minValue="150" maxValue="71629.3"/>
    </cacheField>
    <cacheField name="realized_net_sales" numFmtId="0">
      <sharedItems containsSemiMixedTypes="0" containsString="0" containsNumber="1" minValue="0" maxValue="324634.7"/>
    </cacheField>
    <cacheField name="return_rate" numFmtId="0">
      <sharedItems containsSemiMixedTypes="0" containsString="0" containsNumber="1" minValue="1.9073569482288801E-2" maxValue="1"/>
    </cacheField>
    <cacheField name="net_sales_per_unit" numFmtId="0">
      <sharedItems containsSemiMixedTypes="0" containsString="0" containsNumber="1" minValue="126.765740741" maxValue="215.90909090900001"/>
    </cacheField>
    <cacheField name="realized_net_sales_per_unit" numFmtId="0">
      <sharedItems containsSemiMixedTypes="0" containsString="0" containsNumber="1" minValue="0" maxValue="212.5"/>
    </cacheField>
    <cacheField name="Meses (year_month)" numFmtId="0" databaseField="0">
      <fieldGroup base="0">
        <rangePr groupBy="months" startDate="2024-05-01T00:00:00" endDate="2026-05-02T00:00:00"/>
        <groupItems count="14">
          <s v="&lt;01/05/2024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02/05/2026"/>
        </groupItems>
      </fieldGroup>
    </cacheField>
    <cacheField name="Trimestres (year_month)" numFmtId="0" databaseField="0">
      <fieldGroup base="0">
        <rangePr groupBy="quarters" startDate="2024-05-01T00:00:00" endDate="2026-05-02T00:00:00"/>
        <groupItems count="6">
          <s v="&lt;01/05/2024"/>
          <s v="Trim.1"/>
          <s v="Trim.2"/>
          <s v="Trim.3"/>
          <s v="Trim.4"/>
          <s v="&gt;02/05/2026"/>
        </groupItems>
      </fieldGroup>
    </cacheField>
    <cacheField name="Años (year_month)" numFmtId="0" databaseField="0">
      <fieldGroup base="0">
        <rangePr groupBy="years" startDate="2024-05-01T00:00:00" endDate="2026-05-02T00:00:00"/>
        <groupItems count="5">
          <s v="&lt;01/05/2024"/>
          <s v="2024"/>
          <s v="2025"/>
          <s v="2026"/>
          <s v="&gt;02/05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hongkai Dai" refreshedDate="46250.829687962963" createdVersion="8" refreshedVersion="8" minRefreshableVersion="3" recordCount="101" xr:uid="{2D89537F-A56E-40EA-A1E2-D36337A7D9FD}">
  <cacheSource type="worksheet">
    <worksheetSource ref="A1:L1048576" sheet="export 1A_excel"/>
  </cacheSource>
  <cacheFields count="15">
    <cacheField name="year_month" numFmtId="0">
      <sharedItems containsNonDate="0" containsDate="1" containsString="0" containsBlank="1" minDate="2024-05-01T00:00:00" maxDate="2026-05-02T00:00:00" count="26"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d v="2026-01-01T00:00:00"/>
        <d v="2026-02-01T00:00:00"/>
        <d v="2026-03-01T00:00:00"/>
        <d v="2026-04-01T00:00:00"/>
        <d v="2026-05-01T00:00:00"/>
        <m/>
      </sharedItems>
      <fieldGroup par="14"/>
    </cacheField>
    <cacheField name="channel" numFmtId="0">
      <sharedItems containsBlank="1" count="5">
        <s v="marketplace"/>
        <s v="online"/>
        <s v="retail"/>
        <s v="wholesale"/>
        <m/>
      </sharedItems>
    </cacheField>
    <cacheField name="units_sold" numFmtId="0">
      <sharedItems containsString="0" containsBlank="1" containsNumber="1" containsInteger="1" minValue="3" maxValue="2475"/>
    </cacheField>
    <cacheField name="units_returned" numFmtId="0">
      <sharedItems containsString="0" containsBlank="1" containsNumber="1" containsInteger="1" minValue="1" maxValue="445"/>
    </cacheField>
    <cacheField name="gross_sales" numFmtId="0">
      <sharedItems containsString="0" containsBlank="1" containsNumber="1" containsInteger="1" minValue="490" maxValue="501600"/>
    </cacheField>
    <cacheField name="taxes" numFmtId="0">
      <sharedItems containsString="0" containsBlank="1" containsNumber="1" minValue="0" maxValue="105336"/>
    </cacheField>
    <cacheField name="net_sales" numFmtId="0">
      <sharedItems containsString="0" containsBlank="1" containsNumber="1" minValue="387.1" maxValue="396264"/>
    </cacheField>
    <cacheField name="returned_sales_value" numFmtId="0">
      <sharedItems containsString="0" containsBlank="1" containsNumber="1" minValue="150" maxValue="71629.3"/>
    </cacheField>
    <cacheField name="realized_net_sales" numFmtId="0">
      <sharedItems containsString="0" containsBlank="1" containsNumber="1" minValue="0" maxValue="324634.7"/>
    </cacheField>
    <cacheField name="return_rate" numFmtId="0">
      <sharedItems containsString="0" containsBlank="1" containsNumber="1" minValue="1.9073569482288801E-2" maxValue="1"/>
    </cacheField>
    <cacheField name="net_sales_per_unit" numFmtId="0">
      <sharedItems containsString="0" containsBlank="1" containsNumber="1" minValue="126.765740741" maxValue="215.90909090900001"/>
    </cacheField>
    <cacheField name="realized_net_sales_per_unit" numFmtId="0">
      <sharedItems containsString="0" containsBlank="1" containsNumber="1" minValue="0" maxValue="212.5"/>
    </cacheField>
    <cacheField name="Meses (year_month)" numFmtId="0" databaseField="0">
      <fieldGroup base="0">
        <rangePr groupBy="months" startDate="2024-05-01T00:00:00" endDate="2026-05-02T00:00:00"/>
        <groupItems count="14">
          <s v="&lt;01/05/2024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02/05/2026"/>
        </groupItems>
      </fieldGroup>
    </cacheField>
    <cacheField name="Trimestres (year_month)" numFmtId="0" databaseField="0">
      <fieldGroup base="0">
        <rangePr groupBy="quarters" startDate="2024-05-01T00:00:00" endDate="2026-05-02T00:00:00"/>
        <groupItems count="6">
          <s v="&lt;01/05/2024"/>
          <s v="Trim.1"/>
          <s v="Trim.2"/>
          <s v="Trim.3"/>
          <s v="Trim.4"/>
          <s v="&gt;02/05/2026"/>
        </groupItems>
      </fieldGroup>
    </cacheField>
    <cacheField name="Años (year_month)" numFmtId="0" databaseField="0">
      <fieldGroup base="0">
        <rangePr groupBy="years" startDate="2024-05-01T00:00:00" endDate="2026-05-02T00:00:00"/>
        <groupItems count="5">
          <s v="&lt;01/05/2024"/>
          <s v="2024"/>
          <s v="2025"/>
          <s v="2026"/>
          <s v="&gt;02/05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hongkai Dai" refreshedDate="46250.836281828706" createdVersion="8" refreshedVersion="8" minRefreshableVersion="3" recordCount="4" xr:uid="{1709949C-A83E-43A1-B990-E3A121438A09}">
  <cacheSource type="worksheet">
    <worksheetSource name="export_1B_excel"/>
  </cacheSource>
  <cacheFields count="13">
    <cacheField name="channel" numFmtId="0">
      <sharedItems count="4">
        <s v="online"/>
        <s v="wholesale"/>
        <s v="retail"/>
        <s v="marketplace"/>
      </sharedItems>
    </cacheField>
    <cacheField name="units_sold" numFmtId="0">
      <sharedItems containsSemiMixedTypes="0" containsString="0" containsNumber="1" containsInteger="1" minValue="3300" maxValue="38684"/>
    </cacheField>
    <cacheField name="units_returned" numFmtId="0">
      <sharedItems containsSemiMixedTypes="0" containsString="0" containsNumber="1" containsInteger="1" minValue="397" maxValue="6923"/>
    </cacheField>
    <cacheField name="gross_sales" numFmtId="0">
      <sharedItems containsSemiMixedTypes="0" containsString="0" containsNumber="1" containsInteger="1" minValue="652810" maxValue="7687810"/>
    </cacheField>
    <cacheField name="taxes" numFmtId="0">
      <sharedItems containsSemiMixedTypes="0" containsString="0" containsNumber="1" minValue="0" maxValue="1614440.1"/>
    </cacheField>
    <cacheField name="net_sales" numFmtId="0">
      <sharedItems containsSemiMixedTypes="0" containsString="0" containsNumber="1" minValue="515719.9" maxValue="6073369.9000000004"/>
    </cacheField>
    <cacheField name="returned_sales_value" numFmtId="0">
      <sharedItems containsSemiMixedTypes="0" containsString="0" containsNumber="1" minValue="72593.100000000006" maxValue="1085049.2"/>
    </cacheField>
    <cacheField name="realized_net_sales" numFmtId="0">
      <sharedItems containsSemiMixedTypes="0" containsString="0" containsNumber="1" minValue="443126.8" maxValue="4988320.7" count="4">
        <n v="4988320.7"/>
        <n v="1809690"/>
        <n v="1734595.1"/>
        <n v="443126.8"/>
      </sharedItems>
    </cacheField>
    <cacheField name="return_rate" numFmtId="0">
      <sharedItems containsSemiMixedTypes="0" containsString="0" containsNumber="1" minValue="4.1548927263212902E-2" maxValue="0.178962878709544"/>
    </cacheField>
    <cacheField name="net_sales_mix" numFmtId="0">
      <sharedItems containsSemiMixedTypes="0" containsString="0" containsNumber="1" minValue="4.9181218999999998E-2" maxValue="0.57918210199999998"/>
    </cacheField>
    <cacheField name="realized_sales_mix" numFmtId="0">
      <sharedItems containsSemiMixedTypes="0" containsString="0" containsNumber="1" minValue="4.9369429999999999E-2" maxValue="0.55575638500000002"/>
    </cacheField>
    <cacheField name="net_sales_per_unit" numFmtId="0">
      <sharedItems containsSemiMixedTypes="0" containsString="0" containsNumber="1" minValue="156.20018674100001" maxValue="197.75405546799999"/>
    </cacheField>
    <cacheField name="realized_net_sales_per_unit" numFmtId="0">
      <sharedItems containsSemiMixedTypes="0" containsString="0" containsNumber="1" minValue="128.95048857399999" maxValue="189.397174253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hongkai Dai" refreshedDate="46253.568244560185" createdVersion="8" refreshedVersion="8" minRefreshableVersion="3" recordCount="101" xr:uid="{273812ED-53CA-40C0-9949-6543C8836906}">
  <cacheSource type="worksheet">
    <worksheetSource ref="A1:H1048576" sheet="export 2A_excel"/>
  </cacheSource>
  <cacheFields count="11">
    <cacheField name="year_month" numFmtId="0">
      <sharedItems containsNonDate="0" containsDate="1" containsString="0" containsBlank="1" minDate="2024-05-01T00:00:00" maxDate="2026-05-02T00:00:00" count="26"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d v="2026-01-01T00:00:00"/>
        <d v="2026-02-01T00:00:00"/>
        <d v="2026-03-01T00:00:00"/>
        <d v="2026-04-01T00:00:00"/>
        <d v="2026-05-01T00:00:00"/>
        <m/>
      </sharedItems>
      <fieldGroup par="10"/>
    </cacheField>
    <cacheField name="channel" numFmtId="0">
      <sharedItems containsBlank="1" count="5">
        <s v="marketplace"/>
        <s v="online"/>
        <s v="retail"/>
        <s v="wholesale"/>
        <m/>
      </sharedItems>
    </cacheField>
    <cacheField name="units_sold" numFmtId="0">
      <sharedItems containsString="0" containsBlank="1" containsNumber="1" containsInteger="1" minValue="3" maxValue="2475"/>
    </cacheField>
    <cacheField name="units_returned" numFmtId="0">
      <sharedItems containsString="0" containsBlank="1" containsNumber="1" containsInteger="1" minValue="1" maxValue="445"/>
    </cacheField>
    <cacheField name="net_sales_at_sale" numFmtId="0">
      <sharedItems containsString="0" containsBlank="1" containsNumber="1" minValue="387.1" maxValue="396264"/>
    </cacheField>
    <cacheField name="returned_sales_value" numFmtId="0">
      <sharedItems containsString="0" containsBlank="1" containsNumber="1" minValue="150" maxValue="71629.3"/>
    </cacheField>
    <cacheField name="realized_net_sales" numFmtId="0">
      <sharedItems containsString="0" containsBlank="1" containsNumber="1" minValue="0" maxValue="324634.7"/>
    </cacheField>
    <cacheField name="return_rate" numFmtId="0">
      <sharedItems containsString="0" containsBlank="1" containsNumber="1" minValue="1.9073569482288801E-2" maxValue="1"/>
    </cacheField>
    <cacheField name="Meses (year_month)" numFmtId="0" databaseField="0">
      <fieldGroup base="0">
        <rangePr groupBy="months" startDate="2024-05-01T00:00:00" endDate="2026-05-02T00:00:00"/>
        <groupItems count="14">
          <s v="&lt;01/05/2024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02/05/2026"/>
        </groupItems>
      </fieldGroup>
    </cacheField>
    <cacheField name="Trimestres (year_month)" numFmtId="0" databaseField="0">
      <fieldGroup base="0">
        <rangePr groupBy="quarters" startDate="2024-05-01T00:00:00" endDate="2026-05-02T00:00:00"/>
        <groupItems count="6">
          <s v="&lt;01/05/2024"/>
          <s v="Trim.1"/>
          <s v="Trim.2"/>
          <s v="Trim.3"/>
          <s v="Trim.4"/>
          <s v="&gt;02/05/2026"/>
        </groupItems>
      </fieldGroup>
    </cacheField>
    <cacheField name="Años (year_month)" numFmtId="0" databaseField="0">
      <fieldGroup base="0">
        <rangePr groupBy="years" startDate="2024-05-01T00:00:00" endDate="2026-05-02T00:00:00"/>
        <groupItems count="5">
          <s v="&lt;01/05/2024"/>
          <s v="2024"/>
          <s v="2025"/>
          <s v="2026"/>
          <s v="&gt;02/05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x v="0"/>
    <n v="3"/>
    <n v="3"/>
    <n v="490"/>
    <n v="102.9"/>
    <n v="387.1"/>
    <n v="387.1"/>
    <n v="0"/>
    <n v="1"/>
    <n v="129.033333333"/>
    <n v="0"/>
  </r>
  <r>
    <x v="0"/>
    <x v="1"/>
    <n v="139"/>
    <n v="25"/>
    <n v="26290"/>
    <n v="5520.9"/>
    <n v="20769.099999999999"/>
    <n v="4068.5"/>
    <n v="16700.599999999999"/>
    <n v="0.17985611510791361"/>
    <n v="149.417985612"/>
    <n v="120.148201439"/>
  </r>
  <r>
    <x v="0"/>
    <x v="2"/>
    <n v="41"/>
    <n v="8"/>
    <n v="9500"/>
    <n v="1995"/>
    <n v="7505"/>
    <n v="1516.8"/>
    <n v="5988.2"/>
    <n v="0.1951219512195122"/>
    <n v="183.04878048800001"/>
    <n v="146.05365853699999"/>
  </r>
  <r>
    <x v="0"/>
    <x v="3"/>
    <n v="44"/>
    <n v="1"/>
    <n v="9500"/>
    <n v="0"/>
    <n v="9500"/>
    <n v="150"/>
    <n v="9350"/>
    <n v="2.27272727272727E-2"/>
    <n v="215.90909090900001"/>
    <n v="212.5"/>
  </r>
  <r>
    <x v="1"/>
    <x v="0"/>
    <n v="98"/>
    <n v="9"/>
    <n v="18570"/>
    <n v="3899.7"/>
    <n v="14670.3"/>
    <n v="1287.7"/>
    <n v="13382.6"/>
    <n v="9.18367346938775E-2"/>
    <n v="149.696938776"/>
    <n v="136.557142857"/>
  </r>
  <r>
    <x v="1"/>
    <x v="1"/>
    <n v="1416"/>
    <n v="259"/>
    <n v="271720"/>
    <n v="57061.2"/>
    <n v="214658.8"/>
    <n v="41103.699999999997"/>
    <n v="173555.1"/>
    <n v="0.18290960451977401"/>
    <n v="151.59519774"/>
    <n v="122.567161017"/>
  </r>
  <r>
    <x v="1"/>
    <x v="2"/>
    <n v="498"/>
    <n v="64"/>
    <n v="102860"/>
    <n v="21600.6"/>
    <n v="81259.399999999994"/>
    <n v="12877"/>
    <n v="68382.399999999994"/>
    <n v="0.1285140562248995"/>
    <n v="163.17148594400001"/>
    <n v="137.314056225"/>
  </r>
  <r>
    <x v="1"/>
    <x v="3"/>
    <n v="349"/>
    <n v="8"/>
    <n v="69000"/>
    <n v="0"/>
    <n v="69000"/>
    <n v="1630"/>
    <n v="67370"/>
    <n v="2.2922636103151799E-2"/>
    <n v="197.70773639000001"/>
    <n v="193.03724928400001"/>
  </r>
  <r>
    <x v="2"/>
    <x v="0"/>
    <n v="109"/>
    <n v="16"/>
    <n v="24770"/>
    <n v="5201.7"/>
    <n v="19568.3"/>
    <n v="2678.1"/>
    <n v="16890.2"/>
    <n v="0.146788990825688"/>
    <n v="179.525688073"/>
    <n v="154.955963303"/>
  </r>
  <r>
    <x v="2"/>
    <x v="1"/>
    <n v="1394"/>
    <n v="239"/>
    <n v="279240"/>
    <n v="58640.4"/>
    <n v="220599.6"/>
    <n v="36371.599999999999"/>
    <n v="184228"/>
    <n v="0.1714490674318507"/>
    <n v="158.24935437600001"/>
    <n v="132.157819225"/>
  </r>
  <r>
    <x v="2"/>
    <x v="2"/>
    <n v="391"/>
    <n v="60"/>
    <n v="79970"/>
    <n v="16793.7"/>
    <n v="63176.3"/>
    <n v="9179.7999999999993"/>
    <n v="53996.5"/>
    <n v="0.15345268542199481"/>
    <n v="161.57621483400001"/>
    <n v="138.098465473"/>
  </r>
  <r>
    <x v="2"/>
    <x v="3"/>
    <n v="318"/>
    <n v="12"/>
    <n v="63530"/>
    <n v="0"/>
    <n v="63530"/>
    <n v="2870"/>
    <n v="60660"/>
    <n v="3.7735849056603703E-2"/>
    <n v="199.77987421399999"/>
    <n v="190.754716981"/>
  </r>
  <r>
    <x v="3"/>
    <x v="0"/>
    <n v="118"/>
    <n v="16"/>
    <n v="24390"/>
    <n v="5121.8999999999996"/>
    <n v="19268.099999999999"/>
    <n v="3160"/>
    <n v="16108.1"/>
    <n v="0.13559322033898299"/>
    <n v="163.288983051"/>
    <n v="136.50932203400001"/>
  </r>
  <r>
    <x v="3"/>
    <x v="1"/>
    <n v="1349"/>
    <n v="253"/>
    <n v="268650"/>
    <n v="56416.5"/>
    <n v="212233.5"/>
    <n v="39302.5"/>
    <n v="172931"/>
    <n v="0.18754633061527051"/>
    <n v="157.32653817600001"/>
    <n v="128.19199406999999"/>
  </r>
  <r>
    <x v="3"/>
    <x v="2"/>
    <n v="391"/>
    <n v="54"/>
    <n v="76650"/>
    <n v="16096.5"/>
    <n v="60553.5"/>
    <n v="7694.6"/>
    <n v="52858.9"/>
    <n v="0.1381074168797953"/>
    <n v="154.868286445"/>
    <n v="135.189002558"/>
  </r>
  <r>
    <x v="3"/>
    <x v="3"/>
    <n v="354"/>
    <n v="18"/>
    <n v="69420"/>
    <n v="0"/>
    <n v="69420"/>
    <n v="3940"/>
    <n v="65480"/>
    <n v="5.0847457627118599E-2"/>
    <n v="196.101694915"/>
    <n v="184.971751412"/>
  </r>
  <r>
    <x v="4"/>
    <x v="0"/>
    <n v="108"/>
    <n v="15"/>
    <n v="17330"/>
    <n v="3639.3"/>
    <n v="13690.7"/>
    <n v="2038.2"/>
    <n v="11652.5"/>
    <n v="0.1388888888888889"/>
    <n v="126.765740741"/>
    <n v="107.893518519"/>
  </r>
  <r>
    <x v="4"/>
    <x v="1"/>
    <n v="1320"/>
    <n v="239"/>
    <n v="262080"/>
    <n v="55036.800000000003"/>
    <n v="207043.20000000001"/>
    <n v="39120.800000000003"/>
    <n v="167922.4"/>
    <n v="0.18106060606060601"/>
    <n v="156.85090909100001"/>
    <n v="127.21393939399999"/>
  </r>
  <r>
    <x v="4"/>
    <x v="2"/>
    <n v="444"/>
    <n v="62"/>
    <n v="90930"/>
    <n v="19095.3"/>
    <n v="71834.7"/>
    <n v="10088.299999999999"/>
    <n v="61746.400000000001"/>
    <n v="0.1396396396396396"/>
    <n v="161.789864865"/>
    <n v="139.06846846799999"/>
  </r>
  <r>
    <x v="4"/>
    <x v="3"/>
    <n v="338"/>
    <n v="7"/>
    <n v="64300"/>
    <n v="0"/>
    <n v="64300"/>
    <n v="1260"/>
    <n v="63040"/>
    <n v="2.07100591715976E-2"/>
    <n v="190.23668639100001"/>
    <n v="186.50887574000001"/>
  </r>
  <r>
    <x v="5"/>
    <x v="0"/>
    <n v="127"/>
    <n v="20"/>
    <n v="22490"/>
    <n v="4722.8999999999996"/>
    <n v="17767.099999999999"/>
    <n v="2891.4"/>
    <n v="14875.7"/>
    <n v="0.15748031496062989"/>
    <n v="139.89842519699999"/>
    <n v="117.131496063"/>
  </r>
  <r>
    <x v="5"/>
    <x v="1"/>
    <n v="1484"/>
    <n v="291"/>
    <n v="290310"/>
    <n v="60965.1"/>
    <n v="229344.9"/>
    <n v="46997.1"/>
    <n v="182347.8"/>
    <n v="0.1960916442048517"/>
    <n v="154.54508086300001"/>
    <n v="122.875876011"/>
  </r>
  <r>
    <x v="5"/>
    <x v="2"/>
    <n v="530"/>
    <n v="77"/>
    <n v="97850"/>
    <n v="20548.5"/>
    <n v="77301.5"/>
    <n v="10641.3"/>
    <n v="66660.2"/>
    <n v="0.1452830188679245"/>
    <n v="145.85188679199999"/>
    <n v="125.77396226400001"/>
  </r>
  <r>
    <x v="5"/>
    <x v="3"/>
    <n v="390"/>
    <n v="15"/>
    <n v="83230"/>
    <n v="0"/>
    <n v="83230"/>
    <n v="3670"/>
    <n v="79560"/>
    <n v="3.8461538461538401E-2"/>
    <n v="213.41025640999999"/>
    <n v="204"/>
  </r>
  <r>
    <x v="6"/>
    <x v="0"/>
    <n v="171"/>
    <n v="30"/>
    <n v="39470"/>
    <n v="8288.7000000000007"/>
    <n v="31181.3"/>
    <n v="5079.7"/>
    <n v="26101.599999999999"/>
    <n v="0.175438596491228"/>
    <n v="182.34678362599999"/>
    <n v="152.640935673"/>
  </r>
  <r>
    <x v="6"/>
    <x v="1"/>
    <n v="1818"/>
    <n v="293"/>
    <n v="363900"/>
    <n v="76419"/>
    <n v="287481"/>
    <n v="46436.2"/>
    <n v="241044.8"/>
    <n v="0.16116611661166111"/>
    <n v="158.13036303600001"/>
    <n v="132.58789879"/>
  </r>
  <r>
    <x v="6"/>
    <x v="2"/>
    <n v="620"/>
    <n v="81"/>
    <n v="120520"/>
    <n v="25309.200000000001"/>
    <n v="95210.8"/>
    <n v="13588"/>
    <n v="81622.8"/>
    <n v="0.1306451612903225"/>
    <n v="153.565806452"/>
    <n v="131.649677419"/>
  </r>
  <r>
    <x v="6"/>
    <x v="3"/>
    <n v="439"/>
    <n v="18"/>
    <n v="88230"/>
    <n v="0"/>
    <n v="88230"/>
    <n v="3150"/>
    <n v="85080"/>
    <n v="4.1002277904327998E-2"/>
    <n v="200.979498861"/>
    <n v="193.80410022800001"/>
  </r>
  <r>
    <x v="7"/>
    <x v="0"/>
    <n v="181"/>
    <n v="33"/>
    <n v="36360"/>
    <n v="7635.6"/>
    <n v="28724.400000000001"/>
    <n v="5135"/>
    <n v="23589.4"/>
    <n v="0.1823204419889502"/>
    <n v="158.69834254099999"/>
    <n v="130.32817679600001"/>
  </r>
  <r>
    <x v="7"/>
    <x v="1"/>
    <n v="1997"/>
    <n v="342"/>
    <n v="391970"/>
    <n v="82313.7"/>
    <n v="309656.3"/>
    <n v="54265.1"/>
    <n v="255391.2"/>
    <n v="0.17125688532799199"/>
    <n v="155.06074111199999"/>
    <n v="127.887431147"/>
  </r>
  <r>
    <x v="7"/>
    <x v="2"/>
    <n v="737"/>
    <n v="65"/>
    <n v="142850"/>
    <n v="29998.5"/>
    <n v="112851.5"/>
    <n v="9638"/>
    <n v="103213.5"/>
    <n v="8.8195386702849293E-2"/>
    <n v="153.122795115"/>
    <n v="140.04545454500001"/>
  </r>
  <r>
    <x v="7"/>
    <x v="3"/>
    <n v="517"/>
    <n v="24"/>
    <n v="99340"/>
    <n v="0"/>
    <n v="99340"/>
    <n v="5290"/>
    <n v="94050"/>
    <n v="4.6421663442939999E-2"/>
    <n v="192.147001934"/>
    <n v="181.91489361699999"/>
  </r>
  <r>
    <x v="8"/>
    <x v="0"/>
    <n v="96"/>
    <n v="10"/>
    <n v="17520"/>
    <n v="3679.2"/>
    <n v="13840.8"/>
    <n v="1279.8"/>
    <n v="12561"/>
    <n v="0.1041666666666666"/>
    <n v="144.17500000000001"/>
    <n v="130.84375"/>
  </r>
  <r>
    <x v="8"/>
    <x v="1"/>
    <n v="1179"/>
    <n v="217"/>
    <n v="235470"/>
    <n v="49448.7"/>
    <n v="186021.3"/>
    <n v="35320.9"/>
    <n v="150700.4"/>
    <n v="0.18405428329092449"/>
    <n v="157.778880407"/>
    <n v="127.82052586899999"/>
  </r>
  <r>
    <x v="8"/>
    <x v="2"/>
    <n v="427"/>
    <n v="49"/>
    <n v="81300"/>
    <n v="17073"/>
    <n v="64227"/>
    <n v="7031"/>
    <n v="57196"/>
    <n v="0.1147540983606557"/>
    <n v="150.41451990600001"/>
    <n v="133.948477752"/>
  </r>
  <r>
    <x v="8"/>
    <x v="3"/>
    <n v="314"/>
    <n v="21"/>
    <n v="61810"/>
    <n v="0"/>
    <n v="61810"/>
    <n v="4480"/>
    <n v="57330"/>
    <n v="6.6878980891719703E-2"/>
    <n v="196.84713375800001"/>
    <n v="182.579617834"/>
  </r>
  <r>
    <x v="9"/>
    <x v="0"/>
    <n v="98"/>
    <n v="15"/>
    <n v="19790"/>
    <n v="4155.8999999999996"/>
    <n v="15634.1"/>
    <n v="2196.1999999999998"/>
    <n v="13437.9"/>
    <n v="0.15306122448979589"/>
    <n v="159.531632653"/>
    <n v="137.121428571"/>
  </r>
  <r>
    <x v="9"/>
    <x v="1"/>
    <n v="1034"/>
    <n v="194"/>
    <n v="213400"/>
    <n v="44814"/>
    <n v="168586"/>
    <n v="29941"/>
    <n v="138645"/>
    <n v="0.18762088974854929"/>
    <n v="163.042553191"/>
    <n v="134.08607350099999"/>
  </r>
  <r>
    <x v="9"/>
    <x v="2"/>
    <n v="331"/>
    <n v="28"/>
    <n v="65690"/>
    <n v="13794.9"/>
    <n v="51895.1"/>
    <n v="4819"/>
    <n v="47076.1"/>
    <n v="8.4592145015105702E-2"/>
    <n v="156.78277945599999"/>
    <n v="142.22386706899999"/>
  </r>
  <r>
    <x v="9"/>
    <x v="3"/>
    <n v="256"/>
    <n v="15"/>
    <n v="50380"/>
    <n v="0"/>
    <n v="50380"/>
    <n v="3180"/>
    <n v="47200"/>
    <n v="5.859375E-2"/>
    <n v="196.796875"/>
    <n v="184.375"/>
  </r>
  <r>
    <x v="10"/>
    <x v="0"/>
    <n v="103"/>
    <n v="11"/>
    <n v="19180"/>
    <n v="4027.8"/>
    <n v="15152.2"/>
    <n v="1303.5"/>
    <n v="13848.7"/>
    <n v="0.10679611650485429"/>
    <n v="147.10873786400001"/>
    <n v="134.453398058"/>
  </r>
  <r>
    <x v="10"/>
    <x v="1"/>
    <n v="1412"/>
    <n v="252"/>
    <n v="276560"/>
    <n v="58077.599999999999"/>
    <n v="218482.4"/>
    <n v="40361.1"/>
    <n v="178121.3"/>
    <n v="0.17847025495750701"/>
    <n v="154.73257790400001"/>
    <n v="126.148229462"/>
  </r>
  <r>
    <x v="10"/>
    <x v="2"/>
    <n v="488"/>
    <n v="61"/>
    <n v="99400"/>
    <n v="20874"/>
    <n v="78526"/>
    <n v="11470.8"/>
    <n v="67055.199999999997"/>
    <n v="0.125"/>
    <n v="160.913934426"/>
    <n v="137.408196721"/>
  </r>
  <r>
    <x v="10"/>
    <x v="3"/>
    <n v="364"/>
    <n v="18"/>
    <n v="71610"/>
    <n v="0"/>
    <n v="71610"/>
    <n v="4520"/>
    <n v="67090"/>
    <n v="4.94505494505494E-2"/>
    <n v="196.73076923100001"/>
    <n v="184.31318681299999"/>
  </r>
  <r>
    <x v="11"/>
    <x v="0"/>
    <n v="148"/>
    <n v="19"/>
    <n v="25640"/>
    <n v="5384.4"/>
    <n v="20255.599999999999"/>
    <n v="3041.5"/>
    <n v="17214.099999999999"/>
    <n v="0.12837837837837829"/>
    <n v="136.862162162"/>
    <n v="116.31148648600001"/>
  </r>
  <r>
    <x v="11"/>
    <x v="1"/>
    <n v="1500"/>
    <n v="286"/>
    <n v="291040"/>
    <n v="61118.400000000001"/>
    <n v="229921.6"/>
    <n v="42636.3"/>
    <n v="187285.3"/>
    <n v="0.1906666666666666"/>
    <n v="153.281066667"/>
    <n v="124.85686666700001"/>
  </r>
  <r>
    <x v="11"/>
    <x v="2"/>
    <n v="484"/>
    <n v="76"/>
    <n v="93720"/>
    <n v="19681.2"/>
    <n v="74038.8"/>
    <n v="11778.9"/>
    <n v="62259.9"/>
    <n v="0.1570247933884297"/>
    <n v="152.972727273"/>
    <n v="128.63615702499999"/>
  </r>
  <r>
    <x v="11"/>
    <x v="3"/>
    <n v="374"/>
    <n v="17"/>
    <n v="70780"/>
    <n v="0"/>
    <n v="70780"/>
    <n v="4150"/>
    <n v="66630"/>
    <n v="4.54545454545454E-2"/>
    <n v="189.25133689800001"/>
    <n v="178.15508021400001"/>
  </r>
  <r>
    <x v="12"/>
    <x v="0"/>
    <n v="161"/>
    <n v="26"/>
    <n v="31440"/>
    <n v="6602.4"/>
    <n v="24837.599999999999"/>
    <n v="3673.5"/>
    <n v="21164.1"/>
    <n v="0.16149068322981361"/>
    <n v="154.270807453"/>
    <n v="131.45403726699999"/>
  </r>
  <r>
    <x v="12"/>
    <x v="1"/>
    <n v="1623"/>
    <n v="270"/>
    <n v="317900"/>
    <n v="66759"/>
    <n v="251141"/>
    <n v="44769.3"/>
    <n v="206371.7"/>
    <n v="0.166358595194085"/>
    <n v="154.73875539100001"/>
    <n v="127.154467036"/>
  </r>
  <r>
    <x v="12"/>
    <x v="2"/>
    <n v="514"/>
    <n v="69"/>
    <n v="95750"/>
    <n v="20107.5"/>
    <n v="75642.5"/>
    <n v="10206.799999999999"/>
    <n v="65435.7"/>
    <n v="0.13424124513618671"/>
    <n v="147.16439688700001"/>
    <n v="127.306809339"/>
  </r>
  <r>
    <x v="12"/>
    <x v="3"/>
    <n v="380"/>
    <n v="18"/>
    <n v="73050"/>
    <n v="0"/>
    <n v="73050"/>
    <n v="4100"/>
    <n v="68950"/>
    <n v="4.7368421052631497E-2"/>
    <n v="192.23684210499999"/>
    <n v="181.44736842099999"/>
  </r>
  <r>
    <x v="13"/>
    <x v="0"/>
    <n v="151"/>
    <n v="23"/>
    <n v="28980"/>
    <n v="6085.8"/>
    <n v="22894.2"/>
    <n v="2701.8"/>
    <n v="20192.400000000001"/>
    <n v="0.15231788079470199"/>
    <n v="151.61721854300001"/>
    <n v="133.72450331100001"/>
  </r>
  <r>
    <x v="13"/>
    <x v="1"/>
    <n v="1603"/>
    <n v="289"/>
    <n v="326700"/>
    <n v="68607"/>
    <n v="258093"/>
    <n v="42699.5"/>
    <n v="215393.5"/>
    <n v="0.1802869619463506"/>
    <n v="161.006238303"/>
    <n v="134.368995633"/>
  </r>
  <r>
    <x v="13"/>
    <x v="2"/>
    <n v="606"/>
    <n v="79"/>
    <n v="128420"/>
    <n v="26968.2"/>
    <n v="101451.8"/>
    <n v="13430"/>
    <n v="88021.8"/>
    <n v="0.1303630363036303"/>
    <n v="167.41221122100001"/>
    <n v="145.25049505000001"/>
  </r>
  <r>
    <x v="13"/>
    <x v="3"/>
    <n v="445"/>
    <n v="17"/>
    <n v="88340"/>
    <n v="0"/>
    <n v="88340"/>
    <n v="2720"/>
    <n v="85620"/>
    <n v="3.8202247191011202E-2"/>
    <n v="198.51685393299999"/>
    <n v="192.404494382"/>
  </r>
  <r>
    <x v="14"/>
    <x v="0"/>
    <n v="145"/>
    <n v="19"/>
    <n v="27550"/>
    <n v="5785.5"/>
    <n v="21764.5"/>
    <n v="2717.6"/>
    <n v="19046.900000000001"/>
    <n v="0.1310344827586207"/>
    <n v="150.1"/>
    <n v="131.35793103399999"/>
  </r>
  <r>
    <x v="14"/>
    <x v="1"/>
    <n v="1654"/>
    <n v="315"/>
    <n v="327990"/>
    <n v="68877.899999999994"/>
    <n v="259112.1"/>
    <n v="51626.5"/>
    <n v="207485.6"/>
    <n v="0.1904474002418379"/>
    <n v="156.657859734"/>
    <n v="125.444740024"/>
  </r>
  <r>
    <x v="14"/>
    <x v="2"/>
    <n v="486"/>
    <n v="88"/>
    <n v="94330"/>
    <n v="19809.3"/>
    <n v="74520.7"/>
    <n v="12197.6"/>
    <n v="62323.1"/>
    <n v="0.18106995884773661"/>
    <n v="153.33477366299999"/>
    <n v="128.236831276"/>
  </r>
  <r>
    <x v="14"/>
    <x v="3"/>
    <n v="437"/>
    <n v="18"/>
    <n v="85750"/>
    <n v="0"/>
    <n v="85750"/>
    <n v="2810"/>
    <n v="82940"/>
    <n v="4.1189931350114402E-2"/>
    <n v="196.224256293"/>
    <n v="189.79405034300001"/>
  </r>
  <r>
    <x v="15"/>
    <x v="0"/>
    <n v="110"/>
    <n v="12"/>
    <n v="20830"/>
    <n v="4374.3"/>
    <n v="16455.7"/>
    <n v="1390.4"/>
    <n v="15065.3"/>
    <n v="0.109090909090909"/>
    <n v="149.59727272699999"/>
    <n v="136.957272727"/>
  </r>
  <r>
    <x v="15"/>
    <x v="1"/>
    <n v="1538"/>
    <n v="271"/>
    <n v="297110"/>
    <n v="62393.1"/>
    <n v="234716.9"/>
    <n v="43110.3"/>
    <n v="191606.6"/>
    <n v="0.1762028608582574"/>
    <n v="152.611768531"/>
    <n v="124.581664499"/>
  </r>
  <r>
    <x v="15"/>
    <x v="2"/>
    <n v="542"/>
    <n v="53"/>
    <n v="106090"/>
    <n v="22278.9"/>
    <n v="83811.100000000006"/>
    <n v="7915.8"/>
    <n v="75895.3"/>
    <n v="9.7785977859778495E-2"/>
    <n v="154.63302583000001"/>
    <n v="140.02822878200001"/>
  </r>
  <r>
    <x v="15"/>
    <x v="3"/>
    <n v="367"/>
    <n v="7"/>
    <n v="71360"/>
    <n v="0"/>
    <n v="71360"/>
    <n v="2030"/>
    <n v="69330"/>
    <n v="1.9073569482288801E-2"/>
    <n v="194.44141689400001"/>
    <n v="188.910081744"/>
  </r>
  <r>
    <x v="16"/>
    <x v="0"/>
    <n v="141"/>
    <n v="20"/>
    <n v="30030"/>
    <n v="6306.3"/>
    <n v="23723.7"/>
    <n v="2425.3000000000002"/>
    <n v="21298.400000000001"/>
    <n v="0.1418439716312056"/>
    <n v="168.25319148899999"/>
    <n v="151.05248227000001"/>
  </r>
  <r>
    <x v="16"/>
    <x v="1"/>
    <n v="1658"/>
    <n v="298"/>
    <n v="323000"/>
    <n v="67830"/>
    <n v="255170"/>
    <n v="44437.5"/>
    <n v="210732.5"/>
    <n v="0.17973462002412541"/>
    <n v="153.902291918"/>
    <n v="127.10042219499999"/>
  </r>
  <r>
    <x v="16"/>
    <x v="2"/>
    <n v="519"/>
    <n v="70"/>
    <n v="101060"/>
    <n v="21222.6"/>
    <n v="79837.399999999994"/>
    <n v="11597.2"/>
    <n v="68240.2"/>
    <n v="0.13487475915221581"/>
    <n v="153.829287091"/>
    <n v="131.48400770699999"/>
  </r>
  <r>
    <x v="16"/>
    <x v="3"/>
    <n v="371"/>
    <n v="20"/>
    <n v="72550"/>
    <n v="0"/>
    <n v="72550"/>
    <n v="2700"/>
    <n v="69850"/>
    <n v="5.3908355795148202E-2"/>
    <n v="195.55256064700001"/>
    <n v="188.27493261500001"/>
  </r>
  <r>
    <x v="17"/>
    <x v="0"/>
    <n v="129"/>
    <n v="21"/>
    <n v="27680"/>
    <n v="5812.8"/>
    <n v="21867.200000000001"/>
    <n v="2930.9"/>
    <n v="18936.3"/>
    <n v="0.16279069767441859"/>
    <n v="169.51317829499999"/>
    <n v="146.793023256"/>
  </r>
  <r>
    <x v="17"/>
    <x v="1"/>
    <n v="1748"/>
    <n v="323"/>
    <n v="340150"/>
    <n v="71431.5"/>
    <n v="268718.5"/>
    <n v="47747.6"/>
    <n v="220970.9"/>
    <n v="0.18478260869565211"/>
    <n v="153.72911899299999"/>
    <n v="126.413558352"/>
  </r>
  <r>
    <x v="17"/>
    <x v="2"/>
    <n v="557"/>
    <n v="82"/>
    <n v="109350"/>
    <n v="22963.5"/>
    <n v="86386.5"/>
    <n v="11936.9"/>
    <n v="74449.600000000006"/>
    <n v="0.14721723518850979"/>
    <n v="155.09245960499999"/>
    <n v="133.66175942500001"/>
  </r>
  <r>
    <x v="17"/>
    <x v="3"/>
    <n v="394"/>
    <n v="20"/>
    <n v="78860"/>
    <n v="0"/>
    <n v="78860"/>
    <n v="3870"/>
    <n v="74990"/>
    <n v="5.0761421319796898E-2"/>
    <n v="200.152284264"/>
    <n v="190.329949239"/>
  </r>
  <r>
    <x v="18"/>
    <x v="0"/>
    <n v="193"/>
    <n v="27"/>
    <n v="40530"/>
    <n v="8511.2999999999993"/>
    <n v="32018.7"/>
    <n v="5040.2"/>
    <n v="26978.5"/>
    <n v="0.13989637305699479"/>
    <n v="165.9"/>
    <n v="139.78497409299999"/>
  </r>
  <r>
    <x v="18"/>
    <x v="1"/>
    <n v="2142"/>
    <n v="380"/>
    <n v="419410"/>
    <n v="88076.1"/>
    <n v="331333.90000000002"/>
    <n v="53396.1"/>
    <n v="277937.8"/>
    <n v="0.1774042950513538"/>
    <n v="154.684360411"/>
    <n v="129.75620914999999"/>
  </r>
  <r>
    <x v="18"/>
    <x v="2"/>
    <n v="790"/>
    <n v="118"/>
    <n v="163620"/>
    <n v="34360.199999999997"/>
    <n v="129259.8"/>
    <n v="17893.5"/>
    <n v="111366.3"/>
    <n v="0.1493670886075949"/>
    <n v="163.62"/>
    <n v="140.97"/>
  </r>
  <r>
    <x v="18"/>
    <x v="3"/>
    <n v="483"/>
    <n v="25"/>
    <n v="98630"/>
    <n v="0"/>
    <n v="98630"/>
    <n v="4970"/>
    <n v="93660"/>
    <n v="5.1759834368530003E-2"/>
    <n v="204.202898551"/>
    <n v="193.91304347799999"/>
  </r>
  <r>
    <x v="19"/>
    <x v="0"/>
    <n v="187"/>
    <n v="18"/>
    <n v="34780"/>
    <n v="7303.8"/>
    <n v="27476.2"/>
    <n v="3049.4"/>
    <n v="24426.799999999999"/>
    <n v="9.6256684491978606E-2"/>
    <n v="146.931550802"/>
    <n v="130.62459892999999"/>
  </r>
  <r>
    <x v="19"/>
    <x v="1"/>
    <n v="2475"/>
    <n v="445"/>
    <n v="501600"/>
    <n v="105336"/>
    <n v="396264"/>
    <n v="71629.3"/>
    <n v="324634.7"/>
    <n v="0.17979797979797971"/>
    <n v="160.10666666700001"/>
    <n v="131.16553535400001"/>
  </r>
  <r>
    <x v="19"/>
    <x v="2"/>
    <n v="830"/>
    <n v="103"/>
    <n v="162300"/>
    <n v="34083"/>
    <n v="128217"/>
    <n v="16566.3"/>
    <n v="111650.7"/>
    <n v="0.12409638554216861"/>
    <n v="154.47831325300001"/>
    <n v="134.518915663"/>
  </r>
  <r>
    <x v="19"/>
    <x v="3"/>
    <n v="629"/>
    <n v="23"/>
    <n v="118870"/>
    <n v="0"/>
    <n v="118870"/>
    <n v="3470"/>
    <n v="115400"/>
    <n v="3.6565977742448297E-2"/>
    <n v="188.98251192399999"/>
    <n v="183.46581875999999"/>
  </r>
  <r>
    <x v="20"/>
    <x v="0"/>
    <n v="134"/>
    <n v="26"/>
    <n v="28340"/>
    <n v="5951.4"/>
    <n v="22388.6"/>
    <n v="5214"/>
    <n v="17174.599999999999"/>
    <n v="0.19402985074626861"/>
    <n v="167.079104478"/>
    <n v="128.16865671599999"/>
  </r>
  <r>
    <x v="20"/>
    <x v="1"/>
    <n v="1502"/>
    <n v="267"/>
    <n v="300450"/>
    <n v="63094.5"/>
    <n v="237355.5"/>
    <n v="41190.6"/>
    <n v="196164.9"/>
    <n v="0.177762982689747"/>
    <n v="158.02629826899999"/>
    <n v="130.602463382"/>
  </r>
  <r>
    <x v="20"/>
    <x v="2"/>
    <n v="466"/>
    <n v="69"/>
    <n v="91520"/>
    <n v="19219.2"/>
    <n v="72300.800000000003"/>
    <n v="11162.7"/>
    <n v="61138.1"/>
    <n v="0.14806866952789699"/>
    <n v="155.15193133"/>
    <n v="131.197639485"/>
  </r>
  <r>
    <x v="20"/>
    <x v="3"/>
    <n v="361"/>
    <n v="12"/>
    <n v="70890"/>
    <n v="0"/>
    <n v="70890"/>
    <n v="2360"/>
    <n v="68530"/>
    <n v="3.3240997229916899E-2"/>
    <n v="196.37119113599999"/>
    <n v="189.833795014"/>
  </r>
  <r>
    <x v="21"/>
    <x v="0"/>
    <n v="90"/>
    <n v="18"/>
    <n v="17710"/>
    <n v="3719.1"/>
    <n v="13990.9"/>
    <n v="2899.3"/>
    <n v="11091.6"/>
    <n v="0.2"/>
    <n v="155.45444444399999"/>
    <n v="123.24"/>
  </r>
  <r>
    <x v="21"/>
    <x v="1"/>
    <n v="1293"/>
    <n v="211"/>
    <n v="245930"/>
    <n v="51645.3"/>
    <n v="194284.7"/>
    <n v="31473.599999999999"/>
    <n v="162811.1"/>
    <n v="0.1631863882443928"/>
    <n v="150.258855375"/>
    <n v="125.917324053"/>
  </r>
  <r>
    <x v="21"/>
    <x v="2"/>
    <n v="452"/>
    <n v="65"/>
    <n v="87890"/>
    <n v="18456.900000000001"/>
    <n v="69433.100000000006"/>
    <n v="11391.8"/>
    <n v="58041.3"/>
    <n v="0.14380530973451319"/>
    <n v="153.61305309700001"/>
    <n v="128.409955752"/>
  </r>
  <r>
    <x v="21"/>
    <x v="3"/>
    <n v="295"/>
    <n v="11"/>
    <n v="56530"/>
    <n v="0"/>
    <n v="56530"/>
    <n v="1480"/>
    <n v="55050"/>
    <n v="3.7288135593220299E-2"/>
    <n v="191.62711864400001"/>
    <n v="186.61016949200001"/>
  </r>
  <r>
    <x v="22"/>
    <x v="0"/>
    <n v="165"/>
    <n v="19"/>
    <n v="31600"/>
    <n v="6636"/>
    <n v="24964"/>
    <n v="3167.9"/>
    <n v="21796.1"/>
    <n v="0.1151515151515151"/>
    <n v="151.29696969700001"/>
    <n v="132.097575758"/>
  </r>
  <r>
    <x v="22"/>
    <x v="1"/>
    <n v="1781"/>
    <n v="313"/>
    <n v="365610"/>
    <n v="76778.100000000006"/>
    <n v="288831.90000000002"/>
    <n v="52092.6"/>
    <n v="236739.3"/>
    <n v="0.1757439640651319"/>
    <n v="162.17400336899999"/>
    <n v="132.92492981500001"/>
  </r>
  <r>
    <x v="22"/>
    <x v="2"/>
    <n v="522"/>
    <n v="72"/>
    <n v="104090"/>
    <n v="21858.9"/>
    <n v="82231.100000000006"/>
    <n v="12711.1"/>
    <n v="69520"/>
    <n v="0.13793103448275859"/>
    <n v="157.530842912"/>
    <n v="133.18007662799999"/>
  </r>
  <r>
    <x v="22"/>
    <x v="3"/>
    <n v="424"/>
    <n v="13"/>
    <n v="86330"/>
    <n v="0"/>
    <n v="86330"/>
    <n v="2430"/>
    <n v="83900"/>
    <n v="3.06603773584905E-2"/>
    <n v="203.608490566"/>
    <n v="197.877358491"/>
  </r>
  <r>
    <x v="23"/>
    <x v="0"/>
    <n v="163"/>
    <n v="24"/>
    <n v="31950"/>
    <n v="6709.5"/>
    <n v="25240.5"/>
    <n v="2875.6"/>
    <n v="22364.9"/>
    <n v="0.14723926380368099"/>
    <n v="154.84969325200001"/>
    <n v="137.20797546"/>
  </r>
  <r>
    <x v="23"/>
    <x v="1"/>
    <n v="1811"/>
    <n v="322"/>
    <n v="380320"/>
    <n v="79867.199999999997"/>
    <n v="300452.8"/>
    <n v="53625.2"/>
    <n v="246827.6"/>
    <n v="0.1778023191606847"/>
    <n v="165.90436223099999"/>
    <n v="136.29353948100001"/>
  </r>
  <r>
    <x v="23"/>
    <x v="2"/>
    <n v="615"/>
    <n v="87"/>
    <n v="126550"/>
    <n v="26575.5"/>
    <n v="99974.5"/>
    <n v="13967.2"/>
    <n v="86007.3"/>
    <n v="0.1414634146341463"/>
    <n v="162.56016260199999"/>
    <n v="139.84926829299999"/>
  </r>
  <r>
    <x v="23"/>
    <x v="3"/>
    <n v="483"/>
    <n v="19"/>
    <n v="98130"/>
    <n v="0"/>
    <n v="98130"/>
    <n v="4440"/>
    <n v="93690"/>
    <n v="3.9337474120082802E-2"/>
    <n v="203.16770186299999"/>
    <n v="193.97515528"/>
  </r>
  <r>
    <x v="24"/>
    <x v="0"/>
    <n v="171"/>
    <n v="26"/>
    <n v="35390"/>
    <n v="7431.9"/>
    <n v="27958.1"/>
    <n v="4029"/>
    <n v="23929.1"/>
    <n v="0.1520467836257309"/>
    <n v="163.497660819"/>
    <n v="139.93625731"/>
  </r>
  <r>
    <x v="24"/>
    <x v="1"/>
    <n v="1814"/>
    <n v="329"/>
    <n v="371010"/>
    <n v="77912.100000000006"/>
    <n v="293097.90000000002"/>
    <n v="51326.3"/>
    <n v="241771.6"/>
    <n v="0.18136714443219401"/>
    <n v="161.575468578"/>
    <n v="133.28092613000001"/>
  </r>
  <r>
    <x v="24"/>
    <x v="2"/>
    <n v="571"/>
    <n v="78"/>
    <n v="108910"/>
    <n v="22871.1"/>
    <n v="86038.9"/>
    <n v="11589.3"/>
    <n v="74449.600000000006"/>
    <n v="0.13660245183887909"/>
    <n v="150.681085814"/>
    <n v="130.38458844100001"/>
  </r>
  <r>
    <x v="24"/>
    <x v="3"/>
    <n v="429"/>
    <n v="20"/>
    <n v="89120"/>
    <n v="0"/>
    <n v="89120"/>
    <n v="4180"/>
    <n v="84940"/>
    <n v="4.6620046620046603E-2"/>
    <n v="207.73892773899999"/>
    <n v="197.99533799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x v="0"/>
    <x v="0"/>
    <n v="3"/>
    <n v="3"/>
    <n v="490"/>
    <n v="102.9"/>
    <n v="387.1"/>
    <n v="387.1"/>
    <n v="0"/>
    <n v="1"/>
    <n v="129.033333333"/>
    <n v="0"/>
  </r>
  <r>
    <x v="0"/>
    <x v="1"/>
    <n v="139"/>
    <n v="25"/>
    <n v="26290"/>
    <n v="5520.9"/>
    <n v="20769.099999999999"/>
    <n v="4068.5"/>
    <n v="16700.599999999999"/>
    <n v="0.17985611510791361"/>
    <n v="149.417985612"/>
    <n v="120.148201439"/>
  </r>
  <r>
    <x v="0"/>
    <x v="2"/>
    <n v="41"/>
    <n v="8"/>
    <n v="9500"/>
    <n v="1995"/>
    <n v="7505"/>
    <n v="1516.8"/>
    <n v="5988.2"/>
    <n v="0.1951219512195122"/>
    <n v="183.04878048800001"/>
    <n v="146.05365853699999"/>
  </r>
  <r>
    <x v="0"/>
    <x v="3"/>
    <n v="44"/>
    <n v="1"/>
    <n v="9500"/>
    <n v="0"/>
    <n v="9500"/>
    <n v="150"/>
    <n v="9350"/>
    <n v="2.27272727272727E-2"/>
    <n v="215.90909090900001"/>
    <n v="212.5"/>
  </r>
  <r>
    <x v="1"/>
    <x v="0"/>
    <n v="98"/>
    <n v="9"/>
    <n v="18570"/>
    <n v="3899.7"/>
    <n v="14670.3"/>
    <n v="1287.7"/>
    <n v="13382.6"/>
    <n v="9.18367346938775E-2"/>
    <n v="149.696938776"/>
    <n v="136.557142857"/>
  </r>
  <r>
    <x v="1"/>
    <x v="1"/>
    <n v="1416"/>
    <n v="259"/>
    <n v="271720"/>
    <n v="57061.2"/>
    <n v="214658.8"/>
    <n v="41103.699999999997"/>
    <n v="173555.1"/>
    <n v="0.18290960451977401"/>
    <n v="151.59519774"/>
    <n v="122.567161017"/>
  </r>
  <r>
    <x v="1"/>
    <x v="2"/>
    <n v="498"/>
    <n v="64"/>
    <n v="102860"/>
    <n v="21600.6"/>
    <n v="81259.399999999994"/>
    <n v="12877"/>
    <n v="68382.399999999994"/>
    <n v="0.1285140562248995"/>
    <n v="163.17148594400001"/>
    <n v="137.314056225"/>
  </r>
  <r>
    <x v="1"/>
    <x v="3"/>
    <n v="349"/>
    <n v="8"/>
    <n v="69000"/>
    <n v="0"/>
    <n v="69000"/>
    <n v="1630"/>
    <n v="67370"/>
    <n v="2.2922636103151799E-2"/>
    <n v="197.70773639000001"/>
    <n v="193.03724928400001"/>
  </r>
  <r>
    <x v="2"/>
    <x v="0"/>
    <n v="109"/>
    <n v="16"/>
    <n v="24770"/>
    <n v="5201.7"/>
    <n v="19568.3"/>
    <n v="2678.1"/>
    <n v="16890.2"/>
    <n v="0.146788990825688"/>
    <n v="179.525688073"/>
    <n v="154.955963303"/>
  </r>
  <r>
    <x v="2"/>
    <x v="1"/>
    <n v="1394"/>
    <n v="239"/>
    <n v="279240"/>
    <n v="58640.4"/>
    <n v="220599.6"/>
    <n v="36371.599999999999"/>
    <n v="184228"/>
    <n v="0.1714490674318507"/>
    <n v="158.24935437600001"/>
    <n v="132.157819225"/>
  </r>
  <r>
    <x v="2"/>
    <x v="2"/>
    <n v="391"/>
    <n v="60"/>
    <n v="79970"/>
    <n v="16793.7"/>
    <n v="63176.3"/>
    <n v="9179.7999999999993"/>
    <n v="53996.5"/>
    <n v="0.15345268542199481"/>
    <n v="161.57621483400001"/>
    <n v="138.098465473"/>
  </r>
  <r>
    <x v="2"/>
    <x v="3"/>
    <n v="318"/>
    <n v="12"/>
    <n v="63530"/>
    <n v="0"/>
    <n v="63530"/>
    <n v="2870"/>
    <n v="60660"/>
    <n v="3.7735849056603703E-2"/>
    <n v="199.77987421399999"/>
    <n v="190.754716981"/>
  </r>
  <r>
    <x v="3"/>
    <x v="0"/>
    <n v="118"/>
    <n v="16"/>
    <n v="24390"/>
    <n v="5121.8999999999996"/>
    <n v="19268.099999999999"/>
    <n v="3160"/>
    <n v="16108.1"/>
    <n v="0.13559322033898299"/>
    <n v="163.288983051"/>
    <n v="136.50932203400001"/>
  </r>
  <r>
    <x v="3"/>
    <x v="1"/>
    <n v="1349"/>
    <n v="253"/>
    <n v="268650"/>
    <n v="56416.5"/>
    <n v="212233.5"/>
    <n v="39302.5"/>
    <n v="172931"/>
    <n v="0.18754633061527051"/>
    <n v="157.32653817600001"/>
    <n v="128.19199406999999"/>
  </r>
  <r>
    <x v="3"/>
    <x v="2"/>
    <n v="391"/>
    <n v="54"/>
    <n v="76650"/>
    <n v="16096.5"/>
    <n v="60553.5"/>
    <n v="7694.6"/>
    <n v="52858.9"/>
    <n v="0.1381074168797953"/>
    <n v="154.868286445"/>
    <n v="135.189002558"/>
  </r>
  <r>
    <x v="3"/>
    <x v="3"/>
    <n v="354"/>
    <n v="18"/>
    <n v="69420"/>
    <n v="0"/>
    <n v="69420"/>
    <n v="3940"/>
    <n v="65480"/>
    <n v="5.0847457627118599E-2"/>
    <n v="196.101694915"/>
    <n v="184.971751412"/>
  </r>
  <r>
    <x v="4"/>
    <x v="0"/>
    <n v="108"/>
    <n v="15"/>
    <n v="17330"/>
    <n v="3639.3"/>
    <n v="13690.7"/>
    <n v="2038.2"/>
    <n v="11652.5"/>
    <n v="0.1388888888888889"/>
    <n v="126.765740741"/>
    <n v="107.893518519"/>
  </r>
  <r>
    <x v="4"/>
    <x v="1"/>
    <n v="1320"/>
    <n v="239"/>
    <n v="262080"/>
    <n v="55036.800000000003"/>
    <n v="207043.20000000001"/>
    <n v="39120.800000000003"/>
    <n v="167922.4"/>
    <n v="0.18106060606060601"/>
    <n v="156.85090909100001"/>
    <n v="127.21393939399999"/>
  </r>
  <r>
    <x v="4"/>
    <x v="2"/>
    <n v="444"/>
    <n v="62"/>
    <n v="90930"/>
    <n v="19095.3"/>
    <n v="71834.7"/>
    <n v="10088.299999999999"/>
    <n v="61746.400000000001"/>
    <n v="0.1396396396396396"/>
    <n v="161.789864865"/>
    <n v="139.06846846799999"/>
  </r>
  <r>
    <x v="4"/>
    <x v="3"/>
    <n v="338"/>
    <n v="7"/>
    <n v="64300"/>
    <n v="0"/>
    <n v="64300"/>
    <n v="1260"/>
    <n v="63040"/>
    <n v="2.07100591715976E-2"/>
    <n v="190.23668639100001"/>
    <n v="186.50887574000001"/>
  </r>
  <r>
    <x v="5"/>
    <x v="0"/>
    <n v="127"/>
    <n v="20"/>
    <n v="22490"/>
    <n v="4722.8999999999996"/>
    <n v="17767.099999999999"/>
    <n v="2891.4"/>
    <n v="14875.7"/>
    <n v="0.15748031496062989"/>
    <n v="139.89842519699999"/>
    <n v="117.131496063"/>
  </r>
  <r>
    <x v="5"/>
    <x v="1"/>
    <n v="1484"/>
    <n v="291"/>
    <n v="290310"/>
    <n v="60965.1"/>
    <n v="229344.9"/>
    <n v="46997.1"/>
    <n v="182347.8"/>
    <n v="0.1960916442048517"/>
    <n v="154.54508086300001"/>
    <n v="122.875876011"/>
  </r>
  <r>
    <x v="5"/>
    <x v="2"/>
    <n v="530"/>
    <n v="77"/>
    <n v="97850"/>
    <n v="20548.5"/>
    <n v="77301.5"/>
    <n v="10641.3"/>
    <n v="66660.2"/>
    <n v="0.1452830188679245"/>
    <n v="145.85188679199999"/>
    <n v="125.77396226400001"/>
  </r>
  <r>
    <x v="5"/>
    <x v="3"/>
    <n v="390"/>
    <n v="15"/>
    <n v="83230"/>
    <n v="0"/>
    <n v="83230"/>
    <n v="3670"/>
    <n v="79560"/>
    <n v="3.8461538461538401E-2"/>
    <n v="213.41025640999999"/>
    <n v="204"/>
  </r>
  <r>
    <x v="6"/>
    <x v="0"/>
    <n v="171"/>
    <n v="30"/>
    <n v="39470"/>
    <n v="8288.7000000000007"/>
    <n v="31181.3"/>
    <n v="5079.7"/>
    <n v="26101.599999999999"/>
    <n v="0.175438596491228"/>
    <n v="182.34678362599999"/>
    <n v="152.640935673"/>
  </r>
  <r>
    <x v="6"/>
    <x v="1"/>
    <n v="1818"/>
    <n v="293"/>
    <n v="363900"/>
    <n v="76419"/>
    <n v="287481"/>
    <n v="46436.2"/>
    <n v="241044.8"/>
    <n v="0.16116611661166111"/>
    <n v="158.13036303600001"/>
    <n v="132.58789879"/>
  </r>
  <r>
    <x v="6"/>
    <x v="2"/>
    <n v="620"/>
    <n v="81"/>
    <n v="120520"/>
    <n v="25309.200000000001"/>
    <n v="95210.8"/>
    <n v="13588"/>
    <n v="81622.8"/>
    <n v="0.1306451612903225"/>
    <n v="153.565806452"/>
    <n v="131.649677419"/>
  </r>
  <r>
    <x v="6"/>
    <x v="3"/>
    <n v="439"/>
    <n v="18"/>
    <n v="88230"/>
    <n v="0"/>
    <n v="88230"/>
    <n v="3150"/>
    <n v="85080"/>
    <n v="4.1002277904327998E-2"/>
    <n v="200.979498861"/>
    <n v="193.80410022800001"/>
  </r>
  <r>
    <x v="7"/>
    <x v="0"/>
    <n v="181"/>
    <n v="33"/>
    <n v="36360"/>
    <n v="7635.6"/>
    <n v="28724.400000000001"/>
    <n v="5135"/>
    <n v="23589.4"/>
    <n v="0.1823204419889502"/>
    <n v="158.69834254099999"/>
    <n v="130.32817679600001"/>
  </r>
  <r>
    <x v="7"/>
    <x v="1"/>
    <n v="1997"/>
    <n v="342"/>
    <n v="391970"/>
    <n v="82313.7"/>
    <n v="309656.3"/>
    <n v="54265.1"/>
    <n v="255391.2"/>
    <n v="0.17125688532799199"/>
    <n v="155.06074111199999"/>
    <n v="127.887431147"/>
  </r>
  <r>
    <x v="7"/>
    <x v="2"/>
    <n v="737"/>
    <n v="65"/>
    <n v="142850"/>
    <n v="29998.5"/>
    <n v="112851.5"/>
    <n v="9638"/>
    <n v="103213.5"/>
    <n v="8.8195386702849293E-2"/>
    <n v="153.122795115"/>
    <n v="140.04545454500001"/>
  </r>
  <r>
    <x v="7"/>
    <x v="3"/>
    <n v="517"/>
    <n v="24"/>
    <n v="99340"/>
    <n v="0"/>
    <n v="99340"/>
    <n v="5290"/>
    <n v="94050"/>
    <n v="4.6421663442939999E-2"/>
    <n v="192.147001934"/>
    <n v="181.91489361699999"/>
  </r>
  <r>
    <x v="8"/>
    <x v="0"/>
    <n v="96"/>
    <n v="10"/>
    <n v="17520"/>
    <n v="3679.2"/>
    <n v="13840.8"/>
    <n v="1279.8"/>
    <n v="12561"/>
    <n v="0.1041666666666666"/>
    <n v="144.17500000000001"/>
    <n v="130.84375"/>
  </r>
  <r>
    <x v="8"/>
    <x v="1"/>
    <n v="1179"/>
    <n v="217"/>
    <n v="235470"/>
    <n v="49448.7"/>
    <n v="186021.3"/>
    <n v="35320.9"/>
    <n v="150700.4"/>
    <n v="0.18405428329092449"/>
    <n v="157.778880407"/>
    <n v="127.82052586899999"/>
  </r>
  <r>
    <x v="8"/>
    <x v="2"/>
    <n v="427"/>
    <n v="49"/>
    <n v="81300"/>
    <n v="17073"/>
    <n v="64227"/>
    <n v="7031"/>
    <n v="57196"/>
    <n v="0.1147540983606557"/>
    <n v="150.41451990600001"/>
    <n v="133.948477752"/>
  </r>
  <r>
    <x v="8"/>
    <x v="3"/>
    <n v="314"/>
    <n v="21"/>
    <n v="61810"/>
    <n v="0"/>
    <n v="61810"/>
    <n v="4480"/>
    <n v="57330"/>
    <n v="6.6878980891719703E-2"/>
    <n v="196.84713375800001"/>
    <n v="182.579617834"/>
  </r>
  <r>
    <x v="9"/>
    <x v="0"/>
    <n v="98"/>
    <n v="15"/>
    <n v="19790"/>
    <n v="4155.8999999999996"/>
    <n v="15634.1"/>
    <n v="2196.1999999999998"/>
    <n v="13437.9"/>
    <n v="0.15306122448979589"/>
    <n v="159.531632653"/>
    <n v="137.121428571"/>
  </r>
  <r>
    <x v="9"/>
    <x v="1"/>
    <n v="1034"/>
    <n v="194"/>
    <n v="213400"/>
    <n v="44814"/>
    <n v="168586"/>
    <n v="29941"/>
    <n v="138645"/>
    <n v="0.18762088974854929"/>
    <n v="163.042553191"/>
    <n v="134.08607350099999"/>
  </r>
  <r>
    <x v="9"/>
    <x v="2"/>
    <n v="331"/>
    <n v="28"/>
    <n v="65690"/>
    <n v="13794.9"/>
    <n v="51895.1"/>
    <n v="4819"/>
    <n v="47076.1"/>
    <n v="8.4592145015105702E-2"/>
    <n v="156.78277945599999"/>
    <n v="142.22386706899999"/>
  </r>
  <r>
    <x v="9"/>
    <x v="3"/>
    <n v="256"/>
    <n v="15"/>
    <n v="50380"/>
    <n v="0"/>
    <n v="50380"/>
    <n v="3180"/>
    <n v="47200"/>
    <n v="5.859375E-2"/>
    <n v="196.796875"/>
    <n v="184.375"/>
  </r>
  <r>
    <x v="10"/>
    <x v="0"/>
    <n v="103"/>
    <n v="11"/>
    <n v="19180"/>
    <n v="4027.8"/>
    <n v="15152.2"/>
    <n v="1303.5"/>
    <n v="13848.7"/>
    <n v="0.10679611650485429"/>
    <n v="147.10873786400001"/>
    <n v="134.453398058"/>
  </r>
  <r>
    <x v="10"/>
    <x v="1"/>
    <n v="1412"/>
    <n v="252"/>
    <n v="276560"/>
    <n v="58077.599999999999"/>
    <n v="218482.4"/>
    <n v="40361.1"/>
    <n v="178121.3"/>
    <n v="0.17847025495750701"/>
    <n v="154.73257790400001"/>
    <n v="126.148229462"/>
  </r>
  <r>
    <x v="10"/>
    <x v="2"/>
    <n v="488"/>
    <n v="61"/>
    <n v="99400"/>
    <n v="20874"/>
    <n v="78526"/>
    <n v="11470.8"/>
    <n v="67055.199999999997"/>
    <n v="0.125"/>
    <n v="160.913934426"/>
    <n v="137.408196721"/>
  </r>
  <r>
    <x v="10"/>
    <x v="3"/>
    <n v="364"/>
    <n v="18"/>
    <n v="71610"/>
    <n v="0"/>
    <n v="71610"/>
    <n v="4520"/>
    <n v="67090"/>
    <n v="4.94505494505494E-2"/>
    <n v="196.73076923100001"/>
    <n v="184.31318681299999"/>
  </r>
  <r>
    <x v="11"/>
    <x v="0"/>
    <n v="148"/>
    <n v="19"/>
    <n v="25640"/>
    <n v="5384.4"/>
    <n v="20255.599999999999"/>
    <n v="3041.5"/>
    <n v="17214.099999999999"/>
    <n v="0.12837837837837829"/>
    <n v="136.862162162"/>
    <n v="116.31148648600001"/>
  </r>
  <r>
    <x v="11"/>
    <x v="1"/>
    <n v="1500"/>
    <n v="286"/>
    <n v="291040"/>
    <n v="61118.400000000001"/>
    <n v="229921.6"/>
    <n v="42636.3"/>
    <n v="187285.3"/>
    <n v="0.1906666666666666"/>
    <n v="153.281066667"/>
    <n v="124.85686666700001"/>
  </r>
  <r>
    <x v="11"/>
    <x v="2"/>
    <n v="484"/>
    <n v="76"/>
    <n v="93720"/>
    <n v="19681.2"/>
    <n v="74038.8"/>
    <n v="11778.9"/>
    <n v="62259.9"/>
    <n v="0.1570247933884297"/>
    <n v="152.972727273"/>
    <n v="128.63615702499999"/>
  </r>
  <r>
    <x v="11"/>
    <x v="3"/>
    <n v="374"/>
    <n v="17"/>
    <n v="70780"/>
    <n v="0"/>
    <n v="70780"/>
    <n v="4150"/>
    <n v="66630"/>
    <n v="4.54545454545454E-2"/>
    <n v="189.25133689800001"/>
    <n v="178.15508021400001"/>
  </r>
  <r>
    <x v="12"/>
    <x v="0"/>
    <n v="161"/>
    <n v="26"/>
    <n v="31440"/>
    <n v="6602.4"/>
    <n v="24837.599999999999"/>
    <n v="3673.5"/>
    <n v="21164.1"/>
    <n v="0.16149068322981361"/>
    <n v="154.270807453"/>
    <n v="131.45403726699999"/>
  </r>
  <r>
    <x v="12"/>
    <x v="1"/>
    <n v="1623"/>
    <n v="270"/>
    <n v="317900"/>
    <n v="66759"/>
    <n v="251141"/>
    <n v="44769.3"/>
    <n v="206371.7"/>
    <n v="0.166358595194085"/>
    <n v="154.73875539100001"/>
    <n v="127.154467036"/>
  </r>
  <r>
    <x v="12"/>
    <x v="2"/>
    <n v="514"/>
    <n v="69"/>
    <n v="95750"/>
    <n v="20107.5"/>
    <n v="75642.5"/>
    <n v="10206.799999999999"/>
    <n v="65435.7"/>
    <n v="0.13424124513618671"/>
    <n v="147.16439688700001"/>
    <n v="127.306809339"/>
  </r>
  <r>
    <x v="12"/>
    <x v="3"/>
    <n v="380"/>
    <n v="18"/>
    <n v="73050"/>
    <n v="0"/>
    <n v="73050"/>
    <n v="4100"/>
    <n v="68950"/>
    <n v="4.7368421052631497E-2"/>
    <n v="192.23684210499999"/>
    <n v="181.44736842099999"/>
  </r>
  <r>
    <x v="13"/>
    <x v="0"/>
    <n v="151"/>
    <n v="23"/>
    <n v="28980"/>
    <n v="6085.8"/>
    <n v="22894.2"/>
    <n v="2701.8"/>
    <n v="20192.400000000001"/>
    <n v="0.15231788079470199"/>
    <n v="151.61721854300001"/>
    <n v="133.72450331100001"/>
  </r>
  <r>
    <x v="13"/>
    <x v="1"/>
    <n v="1603"/>
    <n v="289"/>
    <n v="326700"/>
    <n v="68607"/>
    <n v="258093"/>
    <n v="42699.5"/>
    <n v="215393.5"/>
    <n v="0.1802869619463506"/>
    <n v="161.006238303"/>
    <n v="134.368995633"/>
  </r>
  <r>
    <x v="13"/>
    <x v="2"/>
    <n v="606"/>
    <n v="79"/>
    <n v="128420"/>
    <n v="26968.2"/>
    <n v="101451.8"/>
    <n v="13430"/>
    <n v="88021.8"/>
    <n v="0.1303630363036303"/>
    <n v="167.41221122100001"/>
    <n v="145.25049505000001"/>
  </r>
  <r>
    <x v="13"/>
    <x v="3"/>
    <n v="445"/>
    <n v="17"/>
    <n v="88340"/>
    <n v="0"/>
    <n v="88340"/>
    <n v="2720"/>
    <n v="85620"/>
    <n v="3.8202247191011202E-2"/>
    <n v="198.51685393299999"/>
    <n v="192.404494382"/>
  </r>
  <r>
    <x v="14"/>
    <x v="0"/>
    <n v="145"/>
    <n v="19"/>
    <n v="27550"/>
    <n v="5785.5"/>
    <n v="21764.5"/>
    <n v="2717.6"/>
    <n v="19046.900000000001"/>
    <n v="0.1310344827586207"/>
    <n v="150.1"/>
    <n v="131.35793103399999"/>
  </r>
  <r>
    <x v="14"/>
    <x v="1"/>
    <n v="1654"/>
    <n v="315"/>
    <n v="327990"/>
    <n v="68877.899999999994"/>
    <n v="259112.1"/>
    <n v="51626.5"/>
    <n v="207485.6"/>
    <n v="0.1904474002418379"/>
    <n v="156.657859734"/>
    <n v="125.444740024"/>
  </r>
  <r>
    <x v="14"/>
    <x v="2"/>
    <n v="486"/>
    <n v="88"/>
    <n v="94330"/>
    <n v="19809.3"/>
    <n v="74520.7"/>
    <n v="12197.6"/>
    <n v="62323.1"/>
    <n v="0.18106995884773661"/>
    <n v="153.33477366299999"/>
    <n v="128.236831276"/>
  </r>
  <r>
    <x v="14"/>
    <x v="3"/>
    <n v="437"/>
    <n v="18"/>
    <n v="85750"/>
    <n v="0"/>
    <n v="85750"/>
    <n v="2810"/>
    <n v="82940"/>
    <n v="4.1189931350114402E-2"/>
    <n v="196.224256293"/>
    <n v="189.79405034300001"/>
  </r>
  <r>
    <x v="15"/>
    <x v="0"/>
    <n v="110"/>
    <n v="12"/>
    <n v="20830"/>
    <n v="4374.3"/>
    <n v="16455.7"/>
    <n v="1390.4"/>
    <n v="15065.3"/>
    <n v="0.109090909090909"/>
    <n v="149.59727272699999"/>
    <n v="136.957272727"/>
  </r>
  <r>
    <x v="15"/>
    <x v="1"/>
    <n v="1538"/>
    <n v="271"/>
    <n v="297110"/>
    <n v="62393.1"/>
    <n v="234716.9"/>
    <n v="43110.3"/>
    <n v="191606.6"/>
    <n v="0.1762028608582574"/>
    <n v="152.611768531"/>
    <n v="124.581664499"/>
  </r>
  <r>
    <x v="15"/>
    <x v="2"/>
    <n v="542"/>
    <n v="53"/>
    <n v="106090"/>
    <n v="22278.9"/>
    <n v="83811.100000000006"/>
    <n v="7915.8"/>
    <n v="75895.3"/>
    <n v="9.7785977859778495E-2"/>
    <n v="154.63302583000001"/>
    <n v="140.02822878200001"/>
  </r>
  <r>
    <x v="15"/>
    <x v="3"/>
    <n v="367"/>
    <n v="7"/>
    <n v="71360"/>
    <n v="0"/>
    <n v="71360"/>
    <n v="2030"/>
    <n v="69330"/>
    <n v="1.9073569482288801E-2"/>
    <n v="194.44141689400001"/>
    <n v="188.910081744"/>
  </r>
  <r>
    <x v="16"/>
    <x v="0"/>
    <n v="141"/>
    <n v="20"/>
    <n v="30030"/>
    <n v="6306.3"/>
    <n v="23723.7"/>
    <n v="2425.3000000000002"/>
    <n v="21298.400000000001"/>
    <n v="0.1418439716312056"/>
    <n v="168.25319148899999"/>
    <n v="151.05248227000001"/>
  </r>
  <r>
    <x v="16"/>
    <x v="1"/>
    <n v="1658"/>
    <n v="298"/>
    <n v="323000"/>
    <n v="67830"/>
    <n v="255170"/>
    <n v="44437.5"/>
    <n v="210732.5"/>
    <n v="0.17973462002412541"/>
    <n v="153.902291918"/>
    <n v="127.10042219499999"/>
  </r>
  <r>
    <x v="16"/>
    <x v="2"/>
    <n v="519"/>
    <n v="70"/>
    <n v="101060"/>
    <n v="21222.6"/>
    <n v="79837.399999999994"/>
    <n v="11597.2"/>
    <n v="68240.2"/>
    <n v="0.13487475915221581"/>
    <n v="153.829287091"/>
    <n v="131.48400770699999"/>
  </r>
  <r>
    <x v="16"/>
    <x v="3"/>
    <n v="371"/>
    <n v="20"/>
    <n v="72550"/>
    <n v="0"/>
    <n v="72550"/>
    <n v="2700"/>
    <n v="69850"/>
    <n v="5.3908355795148202E-2"/>
    <n v="195.55256064700001"/>
    <n v="188.27493261500001"/>
  </r>
  <r>
    <x v="17"/>
    <x v="0"/>
    <n v="129"/>
    <n v="21"/>
    <n v="27680"/>
    <n v="5812.8"/>
    <n v="21867.200000000001"/>
    <n v="2930.9"/>
    <n v="18936.3"/>
    <n v="0.16279069767441859"/>
    <n v="169.51317829499999"/>
    <n v="146.793023256"/>
  </r>
  <r>
    <x v="17"/>
    <x v="1"/>
    <n v="1748"/>
    <n v="323"/>
    <n v="340150"/>
    <n v="71431.5"/>
    <n v="268718.5"/>
    <n v="47747.6"/>
    <n v="220970.9"/>
    <n v="0.18478260869565211"/>
    <n v="153.72911899299999"/>
    <n v="126.413558352"/>
  </r>
  <r>
    <x v="17"/>
    <x v="2"/>
    <n v="557"/>
    <n v="82"/>
    <n v="109350"/>
    <n v="22963.5"/>
    <n v="86386.5"/>
    <n v="11936.9"/>
    <n v="74449.600000000006"/>
    <n v="0.14721723518850979"/>
    <n v="155.09245960499999"/>
    <n v="133.66175942500001"/>
  </r>
  <r>
    <x v="17"/>
    <x v="3"/>
    <n v="394"/>
    <n v="20"/>
    <n v="78860"/>
    <n v="0"/>
    <n v="78860"/>
    <n v="3870"/>
    <n v="74990"/>
    <n v="5.0761421319796898E-2"/>
    <n v="200.152284264"/>
    <n v="190.329949239"/>
  </r>
  <r>
    <x v="18"/>
    <x v="0"/>
    <n v="193"/>
    <n v="27"/>
    <n v="40530"/>
    <n v="8511.2999999999993"/>
    <n v="32018.7"/>
    <n v="5040.2"/>
    <n v="26978.5"/>
    <n v="0.13989637305699479"/>
    <n v="165.9"/>
    <n v="139.78497409299999"/>
  </r>
  <r>
    <x v="18"/>
    <x v="1"/>
    <n v="2142"/>
    <n v="380"/>
    <n v="419410"/>
    <n v="88076.1"/>
    <n v="331333.90000000002"/>
    <n v="53396.1"/>
    <n v="277937.8"/>
    <n v="0.1774042950513538"/>
    <n v="154.684360411"/>
    <n v="129.75620914999999"/>
  </r>
  <r>
    <x v="18"/>
    <x v="2"/>
    <n v="790"/>
    <n v="118"/>
    <n v="163620"/>
    <n v="34360.199999999997"/>
    <n v="129259.8"/>
    <n v="17893.5"/>
    <n v="111366.3"/>
    <n v="0.1493670886075949"/>
    <n v="163.62"/>
    <n v="140.97"/>
  </r>
  <r>
    <x v="18"/>
    <x v="3"/>
    <n v="483"/>
    <n v="25"/>
    <n v="98630"/>
    <n v="0"/>
    <n v="98630"/>
    <n v="4970"/>
    <n v="93660"/>
    <n v="5.1759834368530003E-2"/>
    <n v="204.202898551"/>
    <n v="193.91304347799999"/>
  </r>
  <r>
    <x v="19"/>
    <x v="0"/>
    <n v="187"/>
    <n v="18"/>
    <n v="34780"/>
    <n v="7303.8"/>
    <n v="27476.2"/>
    <n v="3049.4"/>
    <n v="24426.799999999999"/>
    <n v="9.6256684491978606E-2"/>
    <n v="146.931550802"/>
    <n v="130.62459892999999"/>
  </r>
  <r>
    <x v="19"/>
    <x v="1"/>
    <n v="2475"/>
    <n v="445"/>
    <n v="501600"/>
    <n v="105336"/>
    <n v="396264"/>
    <n v="71629.3"/>
    <n v="324634.7"/>
    <n v="0.17979797979797971"/>
    <n v="160.10666666700001"/>
    <n v="131.16553535400001"/>
  </r>
  <r>
    <x v="19"/>
    <x v="2"/>
    <n v="830"/>
    <n v="103"/>
    <n v="162300"/>
    <n v="34083"/>
    <n v="128217"/>
    <n v="16566.3"/>
    <n v="111650.7"/>
    <n v="0.12409638554216861"/>
    <n v="154.47831325300001"/>
    <n v="134.518915663"/>
  </r>
  <r>
    <x v="19"/>
    <x v="3"/>
    <n v="629"/>
    <n v="23"/>
    <n v="118870"/>
    <n v="0"/>
    <n v="118870"/>
    <n v="3470"/>
    <n v="115400"/>
    <n v="3.6565977742448297E-2"/>
    <n v="188.98251192399999"/>
    <n v="183.46581875999999"/>
  </r>
  <r>
    <x v="20"/>
    <x v="0"/>
    <n v="134"/>
    <n v="26"/>
    <n v="28340"/>
    <n v="5951.4"/>
    <n v="22388.6"/>
    <n v="5214"/>
    <n v="17174.599999999999"/>
    <n v="0.19402985074626861"/>
    <n v="167.079104478"/>
    <n v="128.16865671599999"/>
  </r>
  <r>
    <x v="20"/>
    <x v="1"/>
    <n v="1502"/>
    <n v="267"/>
    <n v="300450"/>
    <n v="63094.5"/>
    <n v="237355.5"/>
    <n v="41190.6"/>
    <n v="196164.9"/>
    <n v="0.177762982689747"/>
    <n v="158.02629826899999"/>
    <n v="130.602463382"/>
  </r>
  <r>
    <x v="20"/>
    <x v="2"/>
    <n v="466"/>
    <n v="69"/>
    <n v="91520"/>
    <n v="19219.2"/>
    <n v="72300.800000000003"/>
    <n v="11162.7"/>
    <n v="61138.1"/>
    <n v="0.14806866952789699"/>
    <n v="155.15193133"/>
    <n v="131.197639485"/>
  </r>
  <r>
    <x v="20"/>
    <x v="3"/>
    <n v="361"/>
    <n v="12"/>
    <n v="70890"/>
    <n v="0"/>
    <n v="70890"/>
    <n v="2360"/>
    <n v="68530"/>
    <n v="3.3240997229916899E-2"/>
    <n v="196.37119113599999"/>
    <n v="189.833795014"/>
  </r>
  <r>
    <x v="21"/>
    <x v="0"/>
    <n v="90"/>
    <n v="18"/>
    <n v="17710"/>
    <n v="3719.1"/>
    <n v="13990.9"/>
    <n v="2899.3"/>
    <n v="11091.6"/>
    <n v="0.2"/>
    <n v="155.45444444399999"/>
    <n v="123.24"/>
  </r>
  <r>
    <x v="21"/>
    <x v="1"/>
    <n v="1293"/>
    <n v="211"/>
    <n v="245930"/>
    <n v="51645.3"/>
    <n v="194284.7"/>
    <n v="31473.599999999999"/>
    <n v="162811.1"/>
    <n v="0.1631863882443928"/>
    <n v="150.258855375"/>
    <n v="125.917324053"/>
  </r>
  <r>
    <x v="21"/>
    <x v="2"/>
    <n v="452"/>
    <n v="65"/>
    <n v="87890"/>
    <n v="18456.900000000001"/>
    <n v="69433.100000000006"/>
    <n v="11391.8"/>
    <n v="58041.3"/>
    <n v="0.14380530973451319"/>
    <n v="153.61305309700001"/>
    <n v="128.409955752"/>
  </r>
  <r>
    <x v="21"/>
    <x v="3"/>
    <n v="295"/>
    <n v="11"/>
    <n v="56530"/>
    <n v="0"/>
    <n v="56530"/>
    <n v="1480"/>
    <n v="55050"/>
    <n v="3.7288135593220299E-2"/>
    <n v="191.62711864400001"/>
    <n v="186.61016949200001"/>
  </r>
  <r>
    <x v="22"/>
    <x v="0"/>
    <n v="165"/>
    <n v="19"/>
    <n v="31600"/>
    <n v="6636"/>
    <n v="24964"/>
    <n v="3167.9"/>
    <n v="21796.1"/>
    <n v="0.1151515151515151"/>
    <n v="151.29696969700001"/>
    <n v="132.097575758"/>
  </r>
  <r>
    <x v="22"/>
    <x v="1"/>
    <n v="1781"/>
    <n v="313"/>
    <n v="365610"/>
    <n v="76778.100000000006"/>
    <n v="288831.90000000002"/>
    <n v="52092.6"/>
    <n v="236739.3"/>
    <n v="0.1757439640651319"/>
    <n v="162.17400336899999"/>
    <n v="132.92492981500001"/>
  </r>
  <r>
    <x v="22"/>
    <x v="2"/>
    <n v="522"/>
    <n v="72"/>
    <n v="104090"/>
    <n v="21858.9"/>
    <n v="82231.100000000006"/>
    <n v="12711.1"/>
    <n v="69520"/>
    <n v="0.13793103448275859"/>
    <n v="157.530842912"/>
    <n v="133.18007662799999"/>
  </r>
  <r>
    <x v="22"/>
    <x v="3"/>
    <n v="424"/>
    <n v="13"/>
    <n v="86330"/>
    <n v="0"/>
    <n v="86330"/>
    <n v="2430"/>
    <n v="83900"/>
    <n v="3.06603773584905E-2"/>
    <n v="203.608490566"/>
    <n v="197.877358491"/>
  </r>
  <r>
    <x v="23"/>
    <x v="0"/>
    <n v="163"/>
    <n v="24"/>
    <n v="31950"/>
    <n v="6709.5"/>
    <n v="25240.5"/>
    <n v="2875.6"/>
    <n v="22364.9"/>
    <n v="0.14723926380368099"/>
    <n v="154.84969325200001"/>
    <n v="137.20797546"/>
  </r>
  <r>
    <x v="23"/>
    <x v="1"/>
    <n v="1811"/>
    <n v="322"/>
    <n v="380320"/>
    <n v="79867.199999999997"/>
    <n v="300452.8"/>
    <n v="53625.2"/>
    <n v="246827.6"/>
    <n v="0.1778023191606847"/>
    <n v="165.90436223099999"/>
    <n v="136.29353948100001"/>
  </r>
  <r>
    <x v="23"/>
    <x v="2"/>
    <n v="615"/>
    <n v="87"/>
    <n v="126550"/>
    <n v="26575.5"/>
    <n v="99974.5"/>
    <n v="13967.2"/>
    <n v="86007.3"/>
    <n v="0.1414634146341463"/>
    <n v="162.56016260199999"/>
    <n v="139.84926829299999"/>
  </r>
  <r>
    <x v="23"/>
    <x v="3"/>
    <n v="483"/>
    <n v="19"/>
    <n v="98130"/>
    <n v="0"/>
    <n v="98130"/>
    <n v="4440"/>
    <n v="93690"/>
    <n v="3.9337474120082802E-2"/>
    <n v="203.16770186299999"/>
    <n v="193.97515528"/>
  </r>
  <r>
    <x v="24"/>
    <x v="0"/>
    <n v="171"/>
    <n v="26"/>
    <n v="35390"/>
    <n v="7431.9"/>
    <n v="27958.1"/>
    <n v="4029"/>
    <n v="23929.1"/>
    <n v="0.1520467836257309"/>
    <n v="163.497660819"/>
    <n v="139.93625731"/>
  </r>
  <r>
    <x v="24"/>
    <x v="1"/>
    <n v="1814"/>
    <n v="329"/>
    <n v="371010"/>
    <n v="77912.100000000006"/>
    <n v="293097.90000000002"/>
    <n v="51326.3"/>
    <n v="241771.6"/>
    <n v="0.18136714443219401"/>
    <n v="161.575468578"/>
    <n v="133.28092613000001"/>
  </r>
  <r>
    <x v="24"/>
    <x v="2"/>
    <n v="571"/>
    <n v="78"/>
    <n v="108910"/>
    <n v="22871.1"/>
    <n v="86038.9"/>
    <n v="11589.3"/>
    <n v="74449.600000000006"/>
    <n v="0.13660245183887909"/>
    <n v="150.681085814"/>
    <n v="130.38458844100001"/>
  </r>
  <r>
    <x v="24"/>
    <x v="3"/>
    <n v="429"/>
    <n v="20"/>
    <n v="89120"/>
    <n v="0"/>
    <n v="89120"/>
    <n v="4180"/>
    <n v="84940"/>
    <n v="4.6620046620046603E-2"/>
    <n v="207.73892773899999"/>
    <n v="197.995337995"/>
  </r>
  <r>
    <x v="25"/>
    <x v="4"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38684"/>
    <n v="6923"/>
    <n v="7687810"/>
    <n v="1614440.1"/>
    <n v="6073369.9000000004"/>
    <n v="1085049.2"/>
    <x v="0"/>
    <n v="0.178962878709544"/>
    <n v="0.57918210199999998"/>
    <n v="0.55575638500000002"/>
    <n v="156.999532106"/>
    <n v="128.95048857399999"/>
  </r>
  <r>
    <x v="1"/>
    <n v="9555"/>
    <n v="397"/>
    <n v="1889540"/>
    <n v="0"/>
    <n v="1889540"/>
    <n v="79850"/>
    <x v="1"/>
    <n v="4.1548927263212902E-2"/>
    <n v="0.18019448299999999"/>
    <n v="0.201620311"/>
    <n v="197.75405546799999"/>
    <n v="189.39717425399999"/>
  </r>
  <r>
    <x v="2"/>
    <n v="12852"/>
    <n v="1718"/>
    <n v="2541120"/>
    <n v="533635.19999999995"/>
    <n v="2007484.8"/>
    <n v="272889.7"/>
    <x v="2"/>
    <n v="0.1336756924992219"/>
    <n v="0.19144219500000001"/>
    <n v="0.19325387399999999"/>
    <n v="156.20018674100001"/>
    <n v="134.96693899799999"/>
  </r>
  <r>
    <x v="3"/>
    <n v="3300"/>
    <n v="476"/>
    <n v="652810"/>
    <n v="137090.1"/>
    <n v="515719.9"/>
    <n v="72593.100000000006"/>
    <x v="3"/>
    <n v="0.1442424242424242"/>
    <n v="4.9181218999999998E-2"/>
    <n v="4.9369429999999999E-2"/>
    <n v="156.278757576"/>
    <n v="134.2808484850000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x v="0"/>
    <x v="0"/>
    <n v="3"/>
    <n v="3"/>
    <n v="387.1"/>
    <n v="387.1"/>
    <n v="0"/>
    <n v="1"/>
  </r>
  <r>
    <x v="0"/>
    <x v="1"/>
    <n v="139"/>
    <n v="25"/>
    <n v="20769.099999999999"/>
    <n v="4068.5"/>
    <n v="16700.599999999999"/>
    <n v="0.17985611510791361"/>
  </r>
  <r>
    <x v="0"/>
    <x v="2"/>
    <n v="41"/>
    <n v="8"/>
    <n v="7505"/>
    <n v="1516.8"/>
    <n v="5988.2"/>
    <n v="0.1951219512195122"/>
  </r>
  <r>
    <x v="0"/>
    <x v="3"/>
    <n v="44"/>
    <n v="1"/>
    <n v="9500"/>
    <n v="150"/>
    <n v="9350"/>
    <n v="2.27272727272727E-2"/>
  </r>
  <r>
    <x v="1"/>
    <x v="0"/>
    <n v="98"/>
    <n v="9"/>
    <n v="14670.3"/>
    <n v="1287.7"/>
    <n v="13382.6"/>
    <n v="9.18367346938775E-2"/>
  </r>
  <r>
    <x v="1"/>
    <x v="1"/>
    <n v="1416"/>
    <n v="259"/>
    <n v="214658.8"/>
    <n v="41103.699999999997"/>
    <n v="173555.1"/>
    <n v="0.18290960451977401"/>
  </r>
  <r>
    <x v="1"/>
    <x v="2"/>
    <n v="498"/>
    <n v="64"/>
    <n v="81259.399999999994"/>
    <n v="12877"/>
    <n v="68382.399999999994"/>
    <n v="0.1285140562248995"/>
  </r>
  <r>
    <x v="1"/>
    <x v="3"/>
    <n v="349"/>
    <n v="8"/>
    <n v="69000"/>
    <n v="1630"/>
    <n v="67370"/>
    <n v="2.2922636103151799E-2"/>
  </r>
  <r>
    <x v="2"/>
    <x v="0"/>
    <n v="109"/>
    <n v="16"/>
    <n v="19568.3"/>
    <n v="2678.1"/>
    <n v="16890.2"/>
    <n v="0.146788990825688"/>
  </r>
  <r>
    <x v="2"/>
    <x v="1"/>
    <n v="1394"/>
    <n v="239"/>
    <n v="220599.6"/>
    <n v="36371.599999999999"/>
    <n v="184228"/>
    <n v="0.1714490674318507"/>
  </r>
  <r>
    <x v="2"/>
    <x v="2"/>
    <n v="391"/>
    <n v="60"/>
    <n v="63176.3"/>
    <n v="9179.7999999999993"/>
    <n v="53996.5"/>
    <n v="0.15345268542199481"/>
  </r>
  <r>
    <x v="2"/>
    <x v="3"/>
    <n v="318"/>
    <n v="12"/>
    <n v="63530"/>
    <n v="2870"/>
    <n v="60660"/>
    <n v="3.7735849056603703E-2"/>
  </r>
  <r>
    <x v="3"/>
    <x v="0"/>
    <n v="118"/>
    <n v="16"/>
    <n v="19268.099999999999"/>
    <n v="3160"/>
    <n v="16108.1"/>
    <n v="0.13559322033898299"/>
  </r>
  <r>
    <x v="3"/>
    <x v="1"/>
    <n v="1349"/>
    <n v="253"/>
    <n v="212233.5"/>
    <n v="39302.5"/>
    <n v="172931"/>
    <n v="0.18754633061527051"/>
  </r>
  <r>
    <x v="3"/>
    <x v="2"/>
    <n v="391"/>
    <n v="54"/>
    <n v="60553.5"/>
    <n v="7694.6"/>
    <n v="52858.9"/>
    <n v="0.1381074168797953"/>
  </r>
  <r>
    <x v="3"/>
    <x v="3"/>
    <n v="354"/>
    <n v="18"/>
    <n v="69420"/>
    <n v="3940"/>
    <n v="65480"/>
    <n v="5.0847457627118599E-2"/>
  </r>
  <r>
    <x v="4"/>
    <x v="0"/>
    <n v="108"/>
    <n v="15"/>
    <n v="13690.7"/>
    <n v="2038.2"/>
    <n v="11652.5"/>
    <n v="0.1388888888888889"/>
  </r>
  <r>
    <x v="4"/>
    <x v="1"/>
    <n v="1320"/>
    <n v="239"/>
    <n v="207043.20000000001"/>
    <n v="39120.800000000003"/>
    <n v="167922.4"/>
    <n v="0.18106060606060601"/>
  </r>
  <r>
    <x v="4"/>
    <x v="2"/>
    <n v="444"/>
    <n v="62"/>
    <n v="71834.7"/>
    <n v="10088.299999999999"/>
    <n v="61746.400000000001"/>
    <n v="0.1396396396396396"/>
  </r>
  <r>
    <x v="4"/>
    <x v="3"/>
    <n v="338"/>
    <n v="7"/>
    <n v="64300"/>
    <n v="1260"/>
    <n v="63040"/>
    <n v="2.07100591715976E-2"/>
  </r>
  <r>
    <x v="5"/>
    <x v="0"/>
    <n v="127"/>
    <n v="20"/>
    <n v="17767.099999999999"/>
    <n v="2891.4"/>
    <n v="14875.7"/>
    <n v="0.15748031496062989"/>
  </r>
  <r>
    <x v="5"/>
    <x v="1"/>
    <n v="1484"/>
    <n v="291"/>
    <n v="229344.9"/>
    <n v="46997.1"/>
    <n v="182347.8"/>
    <n v="0.1960916442048517"/>
  </r>
  <r>
    <x v="5"/>
    <x v="2"/>
    <n v="530"/>
    <n v="77"/>
    <n v="77301.5"/>
    <n v="10641.3"/>
    <n v="66660.2"/>
    <n v="0.1452830188679245"/>
  </r>
  <r>
    <x v="5"/>
    <x v="3"/>
    <n v="390"/>
    <n v="15"/>
    <n v="83230"/>
    <n v="3670"/>
    <n v="79560"/>
    <n v="3.8461538461538401E-2"/>
  </r>
  <r>
    <x v="6"/>
    <x v="0"/>
    <n v="171"/>
    <n v="30"/>
    <n v="31181.3"/>
    <n v="5079.7"/>
    <n v="26101.599999999999"/>
    <n v="0.175438596491228"/>
  </r>
  <r>
    <x v="6"/>
    <x v="1"/>
    <n v="1818"/>
    <n v="293"/>
    <n v="287481"/>
    <n v="46436.2"/>
    <n v="241044.8"/>
    <n v="0.16116611661166111"/>
  </r>
  <r>
    <x v="6"/>
    <x v="2"/>
    <n v="620"/>
    <n v="81"/>
    <n v="95210.8"/>
    <n v="13588"/>
    <n v="81622.8"/>
    <n v="0.1306451612903225"/>
  </r>
  <r>
    <x v="6"/>
    <x v="3"/>
    <n v="439"/>
    <n v="18"/>
    <n v="88230"/>
    <n v="3150"/>
    <n v="85080"/>
    <n v="4.1002277904327998E-2"/>
  </r>
  <r>
    <x v="7"/>
    <x v="0"/>
    <n v="181"/>
    <n v="33"/>
    <n v="28724.400000000001"/>
    <n v="5135"/>
    <n v="23589.4"/>
    <n v="0.1823204419889502"/>
  </r>
  <r>
    <x v="7"/>
    <x v="1"/>
    <n v="1997"/>
    <n v="342"/>
    <n v="309656.3"/>
    <n v="54265.1"/>
    <n v="255391.2"/>
    <n v="0.17125688532799199"/>
  </r>
  <r>
    <x v="7"/>
    <x v="2"/>
    <n v="737"/>
    <n v="65"/>
    <n v="112851.5"/>
    <n v="9638"/>
    <n v="103213.5"/>
    <n v="8.8195386702849293E-2"/>
  </r>
  <r>
    <x v="7"/>
    <x v="3"/>
    <n v="517"/>
    <n v="24"/>
    <n v="99340"/>
    <n v="5290"/>
    <n v="94050"/>
    <n v="4.6421663442939999E-2"/>
  </r>
  <r>
    <x v="8"/>
    <x v="0"/>
    <n v="96"/>
    <n v="10"/>
    <n v="13840.8"/>
    <n v="1279.8"/>
    <n v="12561"/>
    <n v="0.1041666666666666"/>
  </r>
  <r>
    <x v="8"/>
    <x v="1"/>
    <n v="1179"/>
    <n v="217"/>
    <n v="186021.3"/>
    <n v="35320.9"/>
    <n v="150700.4"/>
    <n v="0.18405428329092449"/>
  </r>
  <r>
    <x v="8"/>
    <x v="2"/>
    <n v="427"/>
    <n v="49"/>
    <n v="64227"/>
    <n v="7031"/>
    <n v="57196"/>
    <n v="0.1147540983606557"/>
  </r>
  <r>
    <x v="8"/>
    <x v="3"/>
    <n v="314"/>
    <n v="21"/>
    <n v="61810"/>
    <n v="4480"/>
    <n v="57330"/>
    <n v="6.6878980891719703E-2"/>
  </r>
  <r>
    <x v="9"/>
    <x v="0"/>
    <n v="98"/>
    <n v="15"/>
    <n v="15634.1"/>
    <n v="2196.1999999999998"/>
    <n v="13437.9"/>
    <n v="0.15306122448979589"/>
  </r>
  <r>
    <x v="9"/>
    <x v="1"/>
    <n v="1034"/>
    <n v="194"/>
    <n v="168586"/>
    <n v="29941"/>
    <n v="138645"/>
    <n v="0.18762088974854929"/>
  </r>
  <r>
    <x v="9"/>
    <x v="2"/>
    <n v="331"/>
    <n v="28"/>
    <n v="51895.1"/>
    <n v="4819"/>
    <n v="47076.1"/>
    <n v="8.4592145015105702E-2"/>
  </r>
  <r>
    <x v="9"/>
    <x v="3"/>
    <n v="256"/>
    <n v="15"/>
    <n v="50380"/>
    <n v="3180"/>
    <n v="47200"/>
    <n v="5.859375E-2"/>
  </r>
  <r>
    <x v="10"/>
    <x v="0"/>
    <n v="103"/>
    <n v="11"/>
    <n v="15152.2"/>
    <n v="1303.5"/>
    <n v="13848.7"/>
    <n v="0.10679611650485429"/>
  </r>
  <r>
    <x v="10"/>
    <x v="1"/>
    <n v="1412"/>
    <n v="252"/>
    <n v="218482.4"/>
    <n v="40361.1"/>
    <n v="178121.3"/>
    <n v="0.17847025495750701"/>
  </r>
  <r>
    <x v="10"/>
    <x v="2"/>
    <n v="488"/>
    <n v="61"/>
    <n v="78526"/>
    <n v="11470.8"/>
    <n v="67055.199999999997"/>
    <n v="0.125"/>
  </r>
  <r>
    <x v="10"/>
    <x v="3"/>
    <n v="364"/>
    <n v="18"/>
    <n v="71610"/>
    <n v="4520"/>
    <n v="67090"/>
    <n v="4.94505494505494E-2"/>
  </r>
  <r>
    <x v="11"/>
    <x v="0"/>
    <n v="148"/>
    <n v="19"/>
    <n v="20255.599999999999"/>
    <n v="3041.5"/>
    <n v="17214.099999999999"/>
    <n v="0.12837837837837829"/>
  </r>
  <r>
    <x v="11"/>
    <x v="1"/>
    <n v="1500"/>
    <n v="286"/>
    <n v="229921.6"/>
    <n v="42636.3"/>
    <n v="187285.3"/>
    <n v="0.1906666666666666"/>
  </r>
  <r>
    <x v="11"/>
    <x v="2"/>
    <n v="484"/>
    <n v="76"/>
    <n v="74038.8"/>
    <n v="11778.9"/>
    <n v="62259.9"/>
    <n v="0.1570247933884297"/>
  </r>
  <r>
    <x v="11"/>
    <x v="3"/>
    <n v="374"/>
    <n v="17"/>
    <n v="70780"/>
    <n v="4150"/>
    <n v="66630"/>
    <n v="4.54545454545454E-2"/>
  </r>
  <r>
    <x v="12"/>
    <x v="0"/>
    <n v="161"/>
    <n v="26"/>
    <n v="24837.599999999999"/>
    <n v="3673.5"/>
    <n v="21164.1"/>
    <n v="0.16149068322981361"/>
  </r>
  <r>
    <x v="12"/>
    <x v="1"/>
    <n v="1623"/>
    <n v="270"/>
    <n v="251141"/>
    <n v="44769.3"/>
    <n v="206371.7"/>
    <n v="0.166358595194085"/>
  </r>
  <r>
    <x v="12"/>
    <x v="2"/>
    <n v="514"/>
    <n v="69"/>
    <n v="75642.5"/>
    <n v="10206.799999999999"/>
    <n v="65435.7"/>
    <n v="0.13424124513618671"/>
  </r>
  <r>
    <x v="12"/>
    <x v="3"/>
    <n v="380"/>
    <n v="18"/>
    <n v="73050"/>
    <n v="4100"/>
    <n v="68950"/>
    <n v="4.7368421052631497E-2"/>
  </r>
  <r>
    <x v="13"/>
    <x v="0"/>
    <n v="151"/>
    <n v="23"/>
    <n v="22894.2"/>
    <n v="2701.8"/>
    <n v="20192.400000000001"/>
    <n v="0.15231788079470199"/>
  </r>
  <r>
    <x v="13"/>
    <x v="1"/>
    <n v="1603"/>
    <n v="289"/>
    <n v="258093"/>
    <n v="42699.5"/>
    <n v="215393.5"/>
    <n v="0.1802869619463506"/>
  </r>
  <r>
    <x v="13"/>
    <x v="2"/>
    <n v="606"/>
    <n v="79"/>
    <n v="101451.8"/>
    <n v="13430"/>
    <n v="88021.8"/>
    <n v="0.1303630363036303"/>
  </r>
  <r>
    <x v="13"/>
    <x v="3"/>
    <n v="445"/>
    <n v="17"/>
    <n v="88340"/>
    <n v="2720"/>
    <n v="85620"/>
    <n v="3.8202247191011202E-2"/>
  </r>
  <r>
    <x v="14"/>
    <x v="0"/>
    <n v="145"/>
    <n v="19"/>
    <n v="21764.5"/>
    <n v="2717.6"/>
    <n v="19046.900000000001"/>
    <n v="0.1310344827586207"/>
  </r>
  <r>
    <x v="14"/>
    <x v="1"/>
    <n v="1654"/>
    <n v="315"/>
    <n v="259112.1"/>
    <n v="51626.5"/>
    <n v="207485.6"/>
    <n v="0.1904474002418379"/>
  </r>
  <r>
    <x v="14"/>
    <x v="2"/>
    <n v="486"/>
    <n v="88"/>
    <n v="74520.7"/>
    <n v="12197.6"/>
    <n v="62323.1"/>
    <n v="0.18106995884773661"/>
  </r>
  <r>
    <x v="14"/>
    <x v="3"/>
    <n v="437"/>
    <n v="18"/>
    <n v="85750"/>
    <n v="2810"/>
    <n v="82940"/>
    <n v="4.1189931350114402E-2"/>
  </r>
  <r>
    <x v="15"/>
    <x v="0"/>
    <n v="110"/>
    <n v="12"/>
    <n v="16455.7"/>
    <n v="1390.4"/>
    <n v="15065.3"/>
    <n v="0.109090909090909"/>
  </r>
  <r>
    <x v="15"/>
    <x v="1"/>
    <n v="1538"/>
    <n v="271"/>
    <n v="234716.9"/>
    <n v="43110.3"/>
    <n v="191606.6"/>
    <n v="0.1762028608582574"/>
  </r>
  <r>
    <x v="15"/>
    <x v="2"/>
    <n v="542"/>
    <n v="53"/>
    <n v="83811.100000000006"/>
    <n v="7915.8"/>
    <n v="75895.3"/>
    <n v="9.7785977859778495E-2"/>
  </r>
  <r>
    <x v="15"/>
    <x v="3"/>
    <n v="367"/>
    <n v="7"/>
    <n v="71360"/>
    <n v="2030"/>
    <n v="69330"/>
    <n v="1.9073569482288801E-2"/>
  </r>
  <r>
    <x v="16"/>
    <x v="0"/>
    <n v="141"/>
    <n v="20"/>
    <n v="23723.7"/>
    <n v="2425.3000000000002"/>
    <n v="21298.400000000001"/>
    <n v="0.1418439716312056"/>
  </r>
  <r>
    <x v="16"/>
    <x v="1"/>
    <n v="1658"/>
    <n v="298"/>
    <n v="255170"/>
    <n v="44437.5"/>
    <n v="210732.5"/>
    <n v="0.17973462002412541"/>
  </r>
  <r>
    <x v="16"/>
    <x v="2"/>
    <n v="519"/>
    <n v="70"/>
    <n v="79837.399999999994"/>
    <n v="11597.2"/>
    <n v="68240.2"/>
    <n v="0.13487475915221581"/>
  </r>
  <r>
    <x v="16"/>
    <x v="3"/>
    <n v="371"/>
    <n v="20"/>
    <n v="72550"/>
    <n v="2700"/>
    <n v="69850"/>
    <n v="5.3908355795148202E-2"/>
  </r>
  <r>
    <x v="17"/>
    <x v="0"/>
    <n v="129"/>
    <n v="21"/>
    <n v="21867.200000000001"/>
    <n v="2930.9"/>
    <n v="18936.3"/>
    <n v="0.16279069767441859"/>
  </r>
  <r>
    <x v="17"/>
    <x v="1"/>
    <n v="1748"/>
    <n v="323"/>
    <n v="268718.5"/>
    <n v="47747.6"/>
    <n v="220970.9"/>
    <n v="0.18478260869565211"/>
  </r>
  <r>
    <x v="17"/>
    <x v="2"/>
    <n v="557"/>
    <n v="82"/>
    <n v="86386.5"/>
    <n v="11936.9"/>
    <n v="74449.600000000006"/>
    <n v="0.14721723518850979"/>
  </r>
  <r>
    <x v="17"/>
    <x v="3"/>
    <n v="394"/>
    <n v="20"/>
    <n v="78860"/>
    <n v="3870"/>
    <n v="74990"/>
    <n v="5.0761421319796898E-2"/>
  </r>
  <r>
    <x v="18"/>
    <x v="0"/>
    <n v="193"/>
    <n v="27"/>
    <n v="32018.7"/>
    <n v="5040.2"/>
    <n v="26978.5"/>
    <n v="0.13989637305699479"/>
  </r>
  <r>
    <x v="18"/>
    <x v="1"/>
    <n v="2142"/>
    <n v="380"/>
    <n v="331333.90000000002"/>
    <n v="53396.1"/>
    <n v="277937.8"/>
    <n v="0.1774042950513538"/>
  </r>
  <r>
    <x v="18"/>
    <x v="2"/>
    <n v="790"/>
    <n v="118"/>
    <n v="129259.8"/>
    <n v="17893.5"/>
    <n v="111366.3"/>
    <n v="0.1493670886075949"/>
  </r>
  <r>
    <x v="18"/>
    <x v="3"/>
    <n v="483"/>
    <n v="25"/>
    <n v="98630"/>
    <n v="4970"/>
    <n v="93660"/>
    <n v="5.1759834368530003E-2"/>
  </r>
  <r>
    <x v="19"/>
    <x v="0"/>
    <n v="187"/>
    <n v="18"/>
    <n v="27476.2"/>
    <n v="3049.4"/>
    <n v="24426.799999999999"/>
    <n v="9.6256684491978606E-2"/>
  </r>
  <r>
    <x v="19"/>
    <x v="1"/>
    <n v="2475"/>
    <n v="445"/>
    <n v="396264"/>
    <n v="71629.3"/>
    <n v="324634.7"/>
    <n v="0.17979797979797971"/>
  </r>
  <r>
    <x v="19"/>
    <x v="2"/>
    <n v="830"/>
    <n v="103"/>
    <n v="128217"/>
    <n v="16566.3"/>
    <n v="111650.7"/>
    <n v="0.12409638554216861"/>
  </r>
  <r>
    <x v="19"/>
    <x v="3"/>
    <n v="629"/>
    <n v="23"/>
    <n v="118870"/>
    <n v="3470"/>
    <n v="115400"/>
    <n v="3.6565977742448297E-2"/>
  </r>
  <r>
    <x v="20"/>
    <x v="0"/>
    <n v="134"/>
    <n v="26"/>
    <n v="22388.6"/>
    <n v="5214"/>
    <n v="17174.599999999999"/>
    <n v="0.19402985074626861"/>
  </r>
  <r>
    <x v="20"/>
    <x v="1"/>
    <n v="1502"/>
    <n v="267"/>
    <n v="237355.5"/>
    <n v="41190.6"/>
    <n v="196164.9"/>
    <n v="0.177762982689747"/>
  </r>
  <r>
    <x v="20"/>
    <x v="2"/>
    <n v="466"/>
    <n v="69"/>
    <n v="72300.800000000003"/>
    <n v="11162.7"/>
    <n v="61138.1"/>
    <n v="0.14806866952789699"/>
  </r>
  <r>
    <x v="20"/>
    <x v="3"/>
    <n v="361"/>
    <n v="12"/>
    <n v="70890"/>
    <n v="2360"/>
    <n v="68530"/>
    <n v="3.3240997229916899E-2"/>
  </r>
  <r>
    <x v="21"/>
    <x v="0"/>
    <n v="90"/>
    <n v="18"/>
    <n v="13990.9"/>
    <n v="2899.3"/>
    <n v="11091.6"/>
    <n v="0.2"/>
  </r>
  <r>
    <x v="21"/>
    <x v="1"/>
    <n v="1293"/>
    <n v="211"/>
    <n v="194284.7"/>
    <n v="31473.599999999999"/>
    <n v="162811.1"/>
    <n v="0.1631863882443928"/>
  </r>
  <r>
    <x v="21"/>
    <x v="2"/>
    <n v="452"/>
    <n v="65"/>
    <n v="69433.100000000006"/>
    <n v="11391.8"/>
    <n v="58041.3"/>
    <n v="0.14380530973451319"/>
  </r>
  <r>
    <x v="21"/>
    <x v="3"/>
    <n v="295"/>
    <n v="11"/>
    <n v="56530"/>
    <n v="1480"/>
    <n v="55050"/>
    <n v="3.7288135593220299E-2"/>
  </r>
  <r>
    <x v="22"/>
    <x v="0"/>
    <n v="165"/>
    <n v="19"/>
    <n v="24964"/>
    <n v="3167.9"/>
    <n v="21796.1"/>
    <n v="0.1151515151515151"/>
  </r>
  <r>
    <x v="22"/>
    <x v="1"/>
    <n v="1781"/>
    <n v="313"/>
    <n v="288831.90000000002"/>
    <n v="52092.6"/>
    <n v="236739.3"/>
    <n v="0.1757439640651319"/>
  </r>
  <r>
    <x v="22"/>
    <x v="2"/>
    <n v="522"/>
    <n v="72"/>
    <n v="82231.100000000006"/>
    <n v="12711.1"/>
    <n v="69520"/>
    <n v="0.13793103448275859"/>
  </r>
  <r>
    <x v="22"/>
    <x v="3"/>
    <n v="424"/>
    <n v="13"/>
    <n v="86330"/>
    <n v="2430"/>
    <n v="83900"/>
    <n v="3.06603773584905E-2"/>
  </r>
  <r>
    <x v="23"/>
    <x v="0"/>
    <n v="163"/>
    <n v="24"/>
    <n v="25240.5"/>
    <n v="2875.6"/>
    <n v="22364.9"/>
    <n v="0.14723926380368099"/>
  </r>
  <r>
    <x v="23"/>
    <x v="1"/>
    <n v="1811"/>
    <n v="322"/>
    <n v="300452.8"/>
    <n v="53625.2"/>
    <n v="246827.6"/>
    <n v="0.1778023191606847"/>
  </r>
  <r>
    <x v="23"/>
    <x v="2"/>
    <n v="615"/>
    <n v="87"/>
    <n v="99974.5"/>
    <n v="13967.2"/>
    <n v="86007.3"/>
    <n v="0.1414634146341463"/>
  </r>
  <r>
    <x v="23"/>
    <x v="3"/>
    <n v="483"/>
    <n v="19"/>
    <n v="98130"/>
    <n v="4440"/>
    <n v="93690"/>
    <n v="3.9337474120082802E-2"/>
  </r>
  <r>
    <x v="24"/>
    <x v="0"/>
    <n v="171"/>
    <n v="26"/>
    <n v="27958.1"/>
    <n v="4029"/>
    <n v="23929.1"/>
    <n v="0.1520467836257309"/>
  </r>
  <r>
    <x v="24"/>
    <x v="1"/>
    <n v="1814"/>
    <n v="329"/>
    <n v="293097.90000000002"/>
    <n v="51326.3"/>
    <n v="241771.6"/>
    <n v="0.18136714443219401"/>
  </r>
  <r>
    <x v="24"/>
    <x v="2"/>
    <n v="571"/>
    <n v="78"/>
    <n v="86038.9"/>
    <n v="11589.3"/>
    <n v="74449.600000000006"/>
    <n v="0.13660245183887909"/>
  </r>
  <r>
    <x v="24"/>
    <x v="3"/>
    <n v="429"/>
    <n v="20"/>
    <n v="89120"/>
    <n v="4180"/>
    <n v="84940"/>
    <n v="4.6620046620046603E-2"/>
  </r>
  <r>
    <x v="25"/>
    <x v="4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06F35E-B537-4E89-AB29-FA6F4D828D51}" name="TablaDinámica4" cacheId="2" applyNumberFormats="0" applyBorderFormats="0" applyFontFormats="0" applyPatternFormats="0" applyAlignmentFormats="0" applyWidthHeightFormats="1" dataCaption="Valores" updatedVersion="8" minRefreshableVersion="3" useAutoFormatting="1" rowGrandTotals="0" itemPrintTitles="1" createdVersion="8" indent="0" outline="1" outlineData="1" multipleFieldFilters="0" rowHeaderCaption="Channel">
  <location ref="B27:F31" firstHeaderRow="0" firstDataRow="1" firstDataCol="1"/>
  <pivotFields count="13">
    <pivotField axis="axisRow" showAll="0" sortType="descending">
      <items count="5">
        <item x="3"/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dataField="1" showAll="0">
      <items count="5">
        <item x="3"/>
        <item x="2"/>
        <item x="1"/>
        <item x="0"/>
        <item t="default"/>
      </items>
    </pivotField>
    <pivotField dataField="1" showAll="0"/>
    <pivotField showAll="0"/>
    <pivotField dataField="1" showAll="0"/>
    <pivotField showAll="0"/>
    <pivotField showAll="0"/>
  </pivotFields>
  <rowFields count="1">
    <field x="0"/>
  </rowFields>
  <rowItems count="4">
    <i>
      <x v="1"/>
    </i>
    <i>
      <x v="3"/>
    </i>
    <i>
      <x v="2"/>
    </i>
    <i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Net Sales" fld="5" baseField="0" baseItem="1"/>
    <dataField name="Realized Net Sales" fld="7" baseField="0" baseItem="0"/>
    <dataField name="Mix" fld="10" baseField="0" baseItem="0" numFmtId="164"/>
    <dataField name="Return Rate" fld="8" baseField="0" baseItem="0" numFmtId="164"/>
  </dataFields>
  <formats count="6">
    <format dxfId="10">
      <pivotArea collapsedLevelsAreSubtotals="1" fieldPosition="0">
        <references count="2">
          <reference field="4294967294" count="1" selected="0">
            <x v="3"/>
          </reference>
          <reference field="0" count="1">
            <x v="1"/>
          </reference>
        </references>
      </pivotArea>
    </format>
    <format dxfId="9">
      <pivotArea collapsedLevelsAreSubtotals="1" fieldPosition="0">
        <references count="2">
          <reference field="4294967294" count="1" selected="0">
            <x v="3"/>
          </reference>
          <reference field="0" count="1">
            <x v="1"/>
          </reference>
        </references>
      </pivotArea>
    </format>
    <format dxfId="8">
      <pivotArea collapsedLevelsAreSubtotals="1" fieldPosition="0">
        <references count="2">
          <reference field="4294967294" count="1" selected="0">
            <x v="3"/>
          </reference>
          <reference field="0" count="1">
            <x v="2"/>
          </reference>
        </references>
      </pivotArea>
    </format>
    <format dxfId="7">
      <pivotArea collapsedLevelsAreSubtotals="1" fieldPosition="0">
        <references count="2">
          <reference field="4294967294" count="1" selected="0">
            <x v="3"/>
          </reference>
          <reference field="0" count="1">
            <x v="0"/>
          </reference>
        </references>
      </pivotArea>
    </format>
    <format dxfId="6">
      <pivotArea collapsedLevelsAreSubtotals="1" fieldPosition="0">
        <references count="2">
          <reference field="4294967294" count="1" selected="0">
            <x v="3"/>
          </reference>
          <reference field="0" count="1">
            <x v="3"/>
          </reference>
        </references>
      </pivotArea>
    </format>
    <format dxfId="5">
      <pivotArea collapsedLevelsAreSubtotals="1" fieldPosition="0">
        <references count="2">
          <reference field="4294967294" count="1" selected="0">
            <x v="3"/>
          </reference>
          <reference field="0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F61F1D-6448-411F-9D3C-12F8BB179750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3:F30" firstHeaderRow="1" firstDataRow="2" firstDataCol="1"/>
  <pivotFields count="15">
    <pivotField axis="axisRow" numFmtId="14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x="2"/>
        <item x="3"/>
        <item x="4"/>
        <item sd="0" x="5"/>
        <item t="default"/>
      </items>
    </pivotField>
    <pivotField showAll="0">
      <items count="6">
        <item sd="0" x="0"/>
        <item x="1"/>
        <item x="2"/>
        <item sd="0" x="3"/>
        <item sd="0" x="4"/>
        <item t="default"/>
      </items>
    </pivotField>
  </pivotFields>
  <rowFields count="1">
    <field x="0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a de realized_net_sales" fld="8" baseField="0" baseItem="0"/>
  </dataFields>
  <chartFormats count="4"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B8B94B-DE4E-4717-B182-013CCD2B7621}" name="TablaDinámica5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61:D66" firstHeaderRow="0" firstDataRow="1" firstDataCol="1"/>
  <pivotFields count="13"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dataField="1"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de realized_net_sales" fld="7" baseField="0" baseItem="0"/>
    <dataField name="Suma de returned_sales_value" fld="6" baseField="0" baseItem="0"/>
    <dataField name="Suma de taxes" fld="4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F26562-EE0C-4516-8D19-3FC3B60676D8}" name="TablaDiná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A32:F59" firstHeaderRow="1" firstDataRow="2" firstDataCol="1"/>
  <pivotFields count="15">
    <pivotField axis="axisRow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axis="axisCol" showAll="0">
      <items count="6">
        <item x="0"/>
        <item x="1"/>
        <item x="2"/>
        <item x="3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0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a de return_rate" fld="9" baseField="0" baseItem="0"/>
  </dataFields>
  <chartFormats count="4"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DF9555-3DC4-4EF1-8DAB-0AFE8825DCCF}" name="TablaDinámica1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3:C30" firstHeaderRow="0" firstDataRow="1" firstDataCol="1" rowPageCount="1" colPageCount="1"/>
  <pivotFields count="11">
    <pivotField axis="axisRow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axis="axisPage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dataField="1" showAll="0"/>
    <pivotField showAll="0"/>
    <pivotField dataField="1"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0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a de net_sales_at_sale" fld="4" baseField="0" baseItem="0"/>
    <dataField name="Suma de realized_net_sales" fld="6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F9549597-75BB-4861-A9A1-6CE93DCB8BDE}" autoFormatId="16" applyNumberFormats="0" applyBorderFormats="0" applyFontFormats="0" applyPatternFormats="0" applyAlignmentFormats="0" applyWidthHeightFormats="0">
  <queryTableRefresh nextId="13">
    <queryTableFields count="12">
      <queryTableField id="1" name="year_month" tableColumnId="1"/>
      <queryTableField id="2" name="channel" tableColumnId="2"/>
      <queryTableField id="3" name="units_sold" tableColumnId="3"/>
      <queryTableField id="4" name="units_returned" tableColumnId="4"/>
      <queryTableField id="5" name="gross_sales" tableColumnId="5"/>
      <queryTableField id="6" name="taxes" tableColumnId="6"/>
      <queryTableField id="7" name="net_sales" tableColumnId="7"/>
      <queryTableField id="8" name="returned_sales_value" tableColumnId="8"/>
      <queryTableField id="9" name="realized_net_sales" tableColumnId="9"/>
      <queryTableField id="10" name="return_rate" tableColumnId="10"/>
      <queryTableField id="11" name="net_sales_per_unit" tableColumnId="11"/>
      <queryTableField id="12" name="realized_net_sales_per_unit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EAFB3974-02BE-4253-AAF3-5234882C1B8F}" autoFormatId="16" applyNumberFormats="0" applyBorderFormats="0" applyFontFormats="0" applyPatternFormats="0" applyAlignmentFormats="0" applyWidthHeightFormats="0">
  <queryTableRefresh nextId="14">
    <queryTableFields count="13">
      <queryTableField id="1" name="channel" tableColumnId="1"/>
      <queryTableField id="2" name="units_sold" tableColumnId="2"/>
      <queryTableField id="3" name="units_returned" tableColumnId="3"/>
      <queryTableField id="4" name="gross_sales" tableColumnId="4"/>
      <queryTableField id="5" name="taxes" tableColumnId="5"/>
      <queryTableField id="6" name="net_sales" tableColumnId="6"/>
      <queryTableField id="7" name="returned_sales_value" tableColumnId="7"/>
      <queryTableField id="8" name="realized_net_sales" tableColumnId="8"/>
      <queryTableField id="9" name="return_rate" tableColumnId="9"/>
      <queryTableField id="10" name="net_sales_mix" tableColumnId="10"/>
      <queryTableField id="11" name="realized_sales_mix" tableColumnId="11"/>
      <queryTableField id="12" name="net_sales_per_unit" tableColumnId="12"/>
      <queryTableField id="13" name="realized_net_sales_per_unit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CCF8C1A0-E783-4F47-8D20-A9729258299F}" autoFormatId="16" applyNumberFormats="0" applyBorderFormats="0" applyFontFormats="0" applyPatternFormats="0" applyAlignmentFormats="0" applyWidthHeightFormats="0">
  <queryTableRefresh nextId="9">
    <queryTableFields count="8">
      <queryTableField id="1" name="year_month" tableColumnId="1"/>
      <queryTableField id="2" name="channel" tableColumnId="2"/>
      <queryTableField id="3" name="units_sold" tableColumnId="3"/>
      <queryTableField id="4" name="units_returned" tableColumnId="4"/>
      <queryTableField id="5" name="net_sales_at_sale" tableColumnId="5"/>
      <queryTableField id="6" name="returned_sales_value" tableColumnId="6"/>
      <queryTableField id="7" name="realized_net_sales" tableColumnId="7"/>
      <queryTableField id="8" name="return_rat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D1DF29-43D9-4FC0-851A-CBCBEFB67DD6}" name="export_1A_excel" displayName="export_1A_excel" ref="A1:L101" tableType="queryTable" totalsRowShown="0">
  <autoFilter ref="A1:L101" xr:uid="{D7D1DF29-43D9-4FC0-851A-CBCBEFB67DD6}"/>
  <tableColumns count="12">
    <tableColumn id="1" xr3:uid="{273D6AA7-BAD8-4D7C-8EAB-36A784C2D339}" uniqueName="1" name="year_month" queryTableFieldId="1" dataDxfId="4"/>
    <tableColumn id="2" xr3:uid="{47C33CDD-49F5-4A3D-9F47-D2502351CEFB}" uniqueName="2" name="channel" queryTableFieldId="2" dataDxfId="3"/>
    <tableColumn id="3" xr3:uid="{B87A567D-F60D-42B6-AC56-E74C60DFA159}" uniqueName="3" name="units_sold" queryTableFieldId="3"/>
    <tableColumn id="4" xr3:uid="{8DF86A92-97A1-4FF0-B9B2-703DD50C4D21}" uniqueName="4" name="units_returned" queryTableFieldId="4"/>
    <tableColumn id="5" xr3:uid="{0740E1AB-A498-42FD-8F5B-0B1C41454191}" uniqueName="5" name="gross_sales" queryTableFieldId="5"/>
    <tableColumn id="6" xr3:uid="{CEEA7967-D039-4310-8D15-0BF866D4A001}" uniqueName="6" name="taxes" queryTableFieldId="6"/>
    <tableColumn id="7" xr3:uid="{2AA33FD9-3575-498F-89DA-E6B43B082A5E}" uniqueName="7" name="net_sales" queryTableFieldId="7"/>
    <tableColumn id="8" xr3:uid="{DC2A048B-7D06-4C5D-9DE1-D9790079A43B}" uniqueName="8" name="returned_sales_value" queryTableFieldId="8"/>
    <tableColumn id="9" xr3:uid="{89291911-C1B9-450B-8E0F-F2C8244514E3}" uniqueName="9" name="realized_net_sales" queryTableFieldId="9"/>
    <tableColumn id="10" xr3:uid="{8FD79BA9-5401-40B8-8C35-C0437EC2F0F0}" uniqueName="10" name="return_rate" queryTableFieldId="10"/>
    <tableColumn id="11" xr3:uid="{EB24B772-B808-4EA1-AAFA-CA1FD59B3A94}" uniqueName="11" name="net_sales_per_unit" queryTableFieldId="11"/>
    <tableColumn id="12" xr3:uid="{0BFF6F93-3AB0-48B6-A155-C46A8151489D}" uniqueName="12" name="realized_net_sales_per_unit" queryTableField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C647E6D-2A07-4EA0-B9C4-9F1420459397}" name="export_1B_excel" displayName="export_1B_excel" ref="A1:M5" tableType="queryTable" totalsRowShown="0">
  <autoFilter ref="A1:M5" xr:uid="{1C647E6D-2A07-4EA0-B9C4-9F1420459397}"/>
  <tableColumns count="13">
    <tableColumn id="1" xr3:uid="{E359C8AA-1AF3-4C3A-9BBE-5F5ED67BB53E}" uniqueName="1" name="channel" queryTableFieldId="1" dataDxfId="2"/>
    <tableColumn id="2" xr3:uid="{81ACB7FE-F5B3-44B5-B9EF-E2B366453A62}" uniqueName="2" name="units_sold" queryTableFieldId="2"/>
    <tableColumn id="3" xr3:uid="{6C02CDAB-E977-4059-B682-11CAFEB50FE5}" uniqueName="3" name="units_returned" queryTableFieldId="3"/>
    <tableColumn id="4" xr3:uid="{D490AB5F-13FA-4FC7-A5EF-624E600392BE}" uniqueName="4" name="gross_sales" queryTableFieldId="4"/>
    <tableColumn id="5" xr3:uid="{84950C75-1AB6-4510-A759-482685C15C15}" uniqueName="5" name="taxes" queryTableFieldId="5"/>
    <tableColumn id="6" xr3:uid="{DB89656D-CE9A-4687-A8E9-7B4D69058D01}" uniqueName="6" name="net_sales" queryTableFieldId="6"/>
    <tableColumn id="7" xr3:uid="{E9C26A8B-39F3-4872-8C18-DCD5F4B33BEE}" uniqueName="7" name="returned_sales_value" queryTableFieldId="7"/>
    <tableColumn id="8" xr3:uid="{6E3F4A6C-786C-41D3-B7CD-4CBEF943F626}" uniqueName="8" name="realized_net_sales" queryTableFieldId="8"/>
    <tableColumn id="9" xr3:uid="{96582E76-CD7E-4BF9-ABE6-19446C06B4E2}" uniqueName="9" name="return_rate" queryTableFieldId="9"/>
    <tableColumn id="10" xr3:uid="{900F56BC-F14B-444E-BF1C-46C4580A23AD}" uniqueName="10" name="net_sales_mix" queryTableFieldId="10"/>
    <tableColumn id="11" xr3:uid="{5F894C93-05C7-494B-9BBC-C0B8F5FE44B0}" uniqueName="11" name="realized_sales_mix" queryTableFieldId="11"/>
    <tableColumn id="12" xr3:uid="{C27D14AE-AD72-4FDF-BDA4-5F5EB4D915F1}" uniqueName="12" name="net_sales_per_unit" queryTableFieldId="12"/>
    <tableColumn id="13" xr3:uid="{5C319B66-63A6-47CA-B0AC-8079DCCE831F}" uniqueName="13" name="realized_net_sales_per_unit" queryTableFieldId="1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7A1E6F1-B929-49EC-9DC7-19286B7D5E41}" name="export_2A_excel" displayName="export_2A_excel" ref="A1:H101" tableType="queryTable" totalsRowShown="0">
  <autoFilter ref="A1:H101" xr:uid="{87A1E6F1-B929-49EC-9DC7-19286B7D5E41}"/>
  <tableColumns count="8">
    <tableColumn id="1" xr3:uid="{D848657C-FEFE-4972-A81F-C04E97988E48}" uniqueName="1" name="year_month" queryTableFieldId="1" dataDxfId="1"/>
    <tableColumn id="2" xr3:uid="{03B01A6A-B632-42C7-8F90-87CE42E2E35D}" uniqueName="2" name="channel" queryTableFieldId="2" dataDxfId="0"/>
    <tableColumn id="3" xr3:uid="{C79774CD-B0E1-47E2-B541-6E77D23A4B60}" uniqueName="3" name="units_sold" queryTableFieldId="3"/>
    <tableColumn id="4" xr3:uid="{E2A320DC-1AEC-49F0-917C-5EFD3E0CB33D}" uniqueName="4" name="units_returned" queryTableFieldId="4"/>
    <tableColumn id="5" xr3:uid="{2727094A-72B4-4D10-853F-250D54159C87}" uniqueName="5" name="net_sales_at_sale" queryTableFieldId="5"/>
    <tableColumn id="6" xr3:uid="{1F56B4DD-76A2-4628-9CCA-EB80BFD739C4}" uniqueName="6" name="returned_sales_value" queryTableFieldId="6"/>
    <tableColumn id="7" xr3:uid="{32B902C1-1A89-4244-A348-A8FFBE39D5AA}" uniqueName="7" name="realized_net_sales" queryTableFieldId="7"/>
    <tableColumn id="8" xr3:uid="{0FB00906-C519-4B3A-B290-4B37D0FA2162}" uniqueName="8" name="return_rate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3D109-8B5A-4F2B-85EE-BCAAA79D5808}">
  <dimension ref="B2:F66"/>
  <sheetViews>
    <sheetView tabSelected="1" topLeftCell="A27" zoomScaleNormal="100" workbookViewId="0">
      <selection activeCell="B67" sqref="B67"/>
    </sheetView>
  </sheetViews>
  <sheetFormatPr baseColWidth="10" defaultRowHeight="15" x14ac:dyDescent="0.25"/>
  <cols>
    <col min="2" max="2" width="12" bestFit="1" customWidth="1"/>
    <col min="3" max="3" width="10.28515625" bestFit="1" customWidth="1"/>
    <col min="4" max="4" width="17.85546875" bestFit="1" customWidth="1"/>
    <col min="5" max="5" width="6.140625" bestFit="1" customWidth="1"/>
    <col min="6" max="6" width="11.7109375" bestFit="1" customWidth="1"/>
    <col min="7" max="7" width="12.5703125" bestFit="1" customWidth="1"/>
  </cols>
  <sheetData>
    <row r="2" spans="2:4" ht="21" x14ac:dyDescent="0.35">
      <c r="B2" s="4" t="s">
        <v>20</v>
      </c>
    </row>
    <row r="4" spans="2:4" x14ac:dyDescent="0.25">
      <c r="B4" s="3" t="s">
        <v>18</v>
      </c>
      <c r="D4" s="3" t="s">
        <v>19</v>
      </c>
    </row>
    <row r="5" spans="2:4" x14ac:dyDescent="0.25">
      <c r="B5">
        <f>SUM(export_1B_excel[net_sales])</f>
        <v>10486114.600000001</v>
      </c>
      <c r="D5">
        <f>SUM(export_1B_excel[realized_net_sales])</f>
        <v>8975732.6000000015</v>
      </c>
    </row>
    <row r="27" spans="2:6" x14ac:dyDescent="0.25">
      <c r="B27" s="5" t="s">
        <v>26</v>
      </c>
      <c r="C27" t="s">
        <v>18</v>
      </c>
      <c r="D27" t="s">
        <v>19</v>
      </c>
      <c r="E27" t="s">
        <v>27</v>
      </c>
      <c r="F27" t="s">
        <v>28</v>
      </c>
    </row>
    <row r="28" spans="2:6" x14ac:dyDescent="0.25">
      <c r="B28" s="7" t="s">
        <v>13</v>
      </c>
      <c r="C28" s="2">
        <v>6073369.9000000004</v>
      </c>
      <c r="D28" s="2">
        <v>4988320.7</v>
      </c>
      <c r="E28" s="8">
        <v>0.55575638500000002</v>
      </c>
      <c r="F28" s="9">
        <v>0.178962878709544</v>
      </c>
    </row>
    <row r="29" spans="2:6" x14ac:dyDescent="0.25">
      <c r="B29" s="7" t="s">
        <v>15</v>
      </c>
      <c r="C29" s="2">
        <v>1889540</v>
      </c>
      <c r="D29" s="2">
        <v>1809690</v>
      </c>
      <c r="E29" s="8">
        <v>0.201620311</v>
      </c>
      <c r="F29" s="11">
        <v>4.1548927263212902E-2</v>
      </c>
    </row>
    <row r="30" spans="2:6" x14ac:dyDescent="0.25">
      <c r="B30" s="7" t="s">
        <v>14</v>
      </c>
      <c r="C30" s="2">
        <v>2007484.8</v>
      </c>
      <c r="D30" s="2">
        <v>1734595.1</v>
      </c>
      <c r="E30" s="8">
        <v>0.19325387399999999</v>
      </c>
      <c r="F30" s="10">
        <v>0.1336756924992219</v>
      </c>
    </row>
    <row r="31" spans="2:6" x14ac:dyDescent="0.25">
      <c r="B31" s="7" t="s">
        <v>12</v>
      </c>
      <c r="C31" s="2">
        <v>515719.9</v>
      </c>
      <c r="D31" s="2">
        <v>443126.8</v>
      </c>
      <c r="E31" s="8">
        <v>4.9369429999999999E-2</v>
      </c>
      <c r="F31" s="10">
        <v>0.1442424242424242</v>
      </c>
    </row>
    <row r="45" spans="2:2" ht="21" x14ac:dyDescent="0.35">
      <c r="B45" s="4" t="s">
        <v>32</v>
      </c>
    </row>
    <row r="66" spans="2:2" ht="21" x14ac:dyDescent="0.35">
      <c r="B66" s="4" t="s">
        <v>36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E5566-7591-4871-9AF8-68F3AFAA9E66}">
  <dimension ref="A1:L101"/>
  <sheetViews>
    <sheetView workbookViewId="0">
      <selection sqref="A1:L101"/>
    </sheetView>
  </sheetViews>
  <sheetFormatPr baseColWidth="10" defaultRowHeight="15" x14ac:dyDescent="0.25"/>
  <cols>
    <col min="1" max="1" width="13.85546875" bestFit="1" customWidth="1"/>
    <col min="2" max="2" width="12" bestFit="1" customWidth="1"/>
    <col min="3" max="3" width="12.5703125" bestFit="1" customWidth="1"/>
    <col min="4" max="4" width="16.5703125" bestFit="1" customWidth="1"/>
    <col min="5" max="5" width="13.7109375" bestFit="1" customWidth="1"/>
    <col min="6" max="6" width="8.140625" bestFit="1" customWidth="1"/>
    <col min="7" max="7" width="11.85546875" bestFit="1" customWidth="1"/>
    <col min="8" max="8" width="22.5703125" bestFit="1" customWidth="1"/>
    <col min="9" max="9" width="20" bestFit="1" customWidth="1"/>
    <col min="10" max="10" width="13.28515625" bestFit="1" customWidth="1"/>
    <col min="11" max="11" width="20.28515625" bestFit="1" customWidth="1"/>
    <col min="12" max="12" width="28.42578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>
        <v>45413</v>
      </c>
      <c r="B2" s="2" t="s">
        <v>12</v>
      </c>
      <c r="C2">
        <v>3</v>
      </c>
      <c r="D2">
        <v>3</v>
      </c>
      <c r="E2">
        <v>490</v>
      </c>
      <c r="F2">
        <v>102.9</v>
      </c>
      <c r="G2">
        <v>387.1</v>
      </c>
      <c r="H2">
        <v>387.1</v>
      </c>
      <c r="I2">
        <v>0</v>
      </c>
      <c r="J2">
        <v>1</v>
      </c>
      <c r="K2">
        <v>129.033333333</v>
      </c>
      <c r="L2">
        <v>0</v>
      </c>
    </row>
    <row r="3" spans="1:12" x14ac:dyDescent="0.25">
      <c r="A3" s="1">
        <v>45413</v>
      </c>
      <c r="B3" s="2" t="s">
        <v>13</v>
      </c>
      <c r="C3">
        <v>139</v>
      </c>
      <c r="D3">
        <v>25</v>
      </c>
      <c r="E3">
        <v>26290</v>
      </c>
      <c r="F3">
        <v>5520.9</v>
      </c>
      <c r="G3">
        <v>20769.099999999999</v>
      </c>
      <c r="H3">
        <v>4068.5</v>
      </c>
      <c r="I3">
        <v>16700.599999999999</v>
      </c>
      <c r="J3">
        <v>0.17985611510791361</v>
      </c>
      <c r="K3">
        <v>149.417985612</v>
      </c>
      <c r="L3">
        <v>120.148201439</v>
      </c>
    </row>
    <row r="4" spans="1:12" x14ac:dyDescent="0.25">
      <c r="A4" s="1">
        <v>45413</v>
      </c>
      <c r="B4" s="2" t="s">
        <v>14</v>
      </c>
      <c r="C4">
        <v>41</v>
      </c>
      <c r="D4">
        <v>8</v>
      </c>
      <c r="E4">
        <v>9500</v>
      </c>
      <c r="F4">
        <v>1995</v>
      </c>
      <c r="G4">
        <v>7505</v>
      </c>
      <c r="H4">
        <v>1516.8</v>
      </c>
      <c r="I4">
        <v>5988.2</v>
      </c>
      <c r="J4">
        <v>0.1951219512195122</v>
      </c>
      <c r="K4">
        <v>183.04878048800001</v>
      </c>
      <c r="L4">
        <v>146.05365853699999</v>
      </c>
    </row>
    <row r="5" spans="1:12" x14ac:dyDescent="0.25">
      <c r="A5" s="1">
        <v>45413</v>
      </c>
      <c r="B5" s="2" t="s">
        <v>15</v>
      </c>
      <c r="C5">
        <v>44</v>
      </c>
      <c r="D5">
        <v>1</v>
      </c>
      <c r="E5">
        <v>9500</v>
      </c>
      <c r="F5">
        <v>0</v>
      </c>
      <c r="G5">
        <v>9500</v>
      </c>
      <c r="H5">
        <v>150</v>
      </c>
      <c r="I5">
        <v>9350</v>
      </c>
      <c r="J5">
        <v>2.27272727272727E-2</v>
      </c>
      <c r="K5">
        <v>215.90909090900001</v>
      </c>
      <c r="L5">
        <v>212.5</v>
      </c>
    </row>
    <row r="6" spans="1:12" x14ac:dyDescent="0.25">
      <c r="A6" s="1">
        <v>45444</v>
      </c>
      <c r="B6" s="2" t="s">
        <v>12</v>
      </c>
      <c r="C6">
        <v>98</v>
      </c>
      <c r="D6">
        <v>9</v>
      </c>
      <c r="E6">
        <v>18570</v>
      </c>
      <c r="F6">
        <v>3899.7</v>
      </c>
      <c r="G6">
        <v>14670.3</v>
      </c>
      <c r="H6">
        <v>1287.7</v>
      </c>
      <c r="I6">
        <v>13382.6</v>
      </c>
      <c r="J6">
        <v>9.18367346938775E-2</v>
      </c>
      <c r="K6">
        <v>149.696938776</v>
      </c>
      <c r="L6">
        <v>136.557142857</v>
      </c>
    </row>
    <row r="7" spans="1:12" x14ac:dyDescent="0.25">
      <c r="A7" s="1">
        <v>45444</v>
      </c>
      <c r="B7" s="2" t="s">
        <v>13</v>
      </c>
      <c r="C7">
        <v>1416</v>
      </c>
      <c r="D7">
        <v>259</v>
      </c>
      <c r="E7">
        <v>271720</v>
      </c>
      <c r="F7">
        <v>57061.2</v>
      </c>
      <c r="G7">
        <v>214658.8</v>
      </c>
      <c r="H7">
        <v>41103.699999999997</v>
      </c>
      <c r="I7">
        <v>173555.1</v>
      </c>
      <c r="J7">
        <v>0.18290960451977401</v>
      </c>
      <c r="K7">
        <v>151.59519774</v>
      </c>
      <c r="L7">
        <v>122.567161017</v>
      </c>
    </row>
    <row r="8" spans="1:12" x14ac:dyDescent="0.25">
      <c r="A8" s="1">
        <v>45444</v>
      </c>
      <c r="B8" s="2" t="s">
        <v>14</v>
      </c>
      <c r="C8">
        <v>498</v>
      </c>
      <c r="D8">
        <v>64</v>
      </c>
      <c r="E8">
        <v>102860</v>
      </c>
      <c r="F8">
        <v>21600.6</v>
      </c>
      <c r="G8">
        <v>81259.399999999994</v>
      </c>
      <c r="H8">
        <v>12877</v>
      </c>
      <c r="I8">
        <v>68382.399999999994</v>
      </c>
      <c r="J8">
        <v>0.1285140562248995</v>
      </c>
      <c r="K8">
        <v>163.17148594400001</v>
      </c>
      <c r="L8">
        <v>137.314056225</v>
      </c>
    </row>
    <row r="9" spans="1:12" x14ac:dyDescent="0.25">
      <c r="A9" s="1">
        <v>45444</v>
      </c>
      <c r="B9" s="2" t="s">
        <v>15</v>
      </c>
      <c r="C9">
        <v>349</v>
      </c>
      <c r="D9">
        <v>8</v>
      </c>
      <c r="E9">
        <v>69000</v>
      </c>
      <c r="F9">
        <v>0</v>
      </c>
      <c r="G9">
        <v>69000</v>
      </c>
      <c r="H9">
        <v>1630</v>
      </c>
      <c r="I9">
        <v>67370</v>
      </c>
      <c r="J9">
        <v>2.2922636103151799E-2</v>
      </c>
      <c r="K9">
        <v>197.70773639000001</v>
      </c>
      <c r="L9">
        <v>193.03724928400001</v>
      </c>
    </row>
    <row r="10" spans="1:12" x14ac:dyDescent="0.25">
      <c r="A10" s="1">
        <v>45474</v>
      </c>
      <c r="B10" s="2" t="s">
        <v>12</v>
      </c>
      <c r="C10">
        <v>109</v>
      </c>
      <c r="D10">
        <v>16</v>
      </c>
      <c r="E10">
        <v>24770</v>
      </c>
      <c r="F10">
        <v>5201.7</v>
      </c>
      <c r="G10">
        <v>19568.3</v>
      </c>
      <c r="H10">
        <v>2678.1</v>
      </c>
      <c r="I10">
        <v>16890.2</v>
      </c>
      <c r="J10">
        <v>0.146788990825688</v>
      </c>
      <c r="K10">
        <v>179.525688073</v>
      </c>
      <c r="L10">
        <v>154.955963303</v>
      </c>
    </row>
    <row r="11" spans="1:12" x14ac:dyDescent="0.25">
      <c r="A11" s="1">
        <v>45474</v>
      </c>
      <c r="B11" s="2" t="s">
        <v>13</v>
      </c>
      <c r="C11">
        <v>1394</v>
      </c>
      <c r="D11">
        <v>239</v>
      </c>
      <c r="E11">
        <v>279240</v>
      </c>
      <c r="F11">
        <v>58640.4</v>
      </c>
      <c r="G11">
        <v>220599.6</v>
      </c>
      <c r="H11">
        <v>36371.599999999999</v>
      </c>
      <c r="I11">
        <v>184228</v>
      </c>
      <c r="J11">
        <v>0.1714490674318507</v>
      </c>
      <c r="K11">
        <v>158.24935437600001</v>
      </c>
      <c r="L11">
        <v>132.157819225</v>
      </c>
    </row>
    <row r="12" spans="1:12" x14ac:dyDescent="0.25">
      <c r="A12" s="1">
        <v>45474</v>
      </c>
      <c r="B12" s="2" t="s">
        <v>14</v>
      </c>
      <c r="C12">
        <v>391</v>
      </c>
      <c r="D12">
        <v>60</v>
      </c>
      <c r="E12">
        <v>79970</v>
      </c>
      <c r="F12">
        <v>16793.7</v>
      </c>
      <c r="G12">
        <v>63176.3</v>
      </c>
      <c r="H12">
        <v>9179.7999999999993</v>
      </c>
      <c r="I12">
        <v>53996.5</v>
      </c>
      <c r="J12">
        <v>0.15345268542199481</v>
      </c>
      <c r="K12">
        <v>161.57621483400001</v>
      </c>
      <c r="L12">
        <v>138.098465473</v>
      </c>
    </row>
    <row r="13" spans="1:12" x14ac:dyDescent="0.25">
      <c r="A13" s="1">
        <v>45474</v>
      </c>
      <c r="B13" s="2" t="s">
        <v>15</v>
      </c>
      <c r="C13">
        <v>318</v>
      </c>
      <c r="D13">
        <v>12</v>
      </c>
      <c r="E13">
        <v>63530</v>
      </c>
      <c r="F13">
        <v>0</v>
      </c>
      <c r="G13">
        <v>63530</v>
      </c>
      <c r="H13">
        <v>2870</v>
      </c>
      <c r="I13">
        <v>60660</v>
      </c>
      <c r="J13">
        <v>3.7735849056603703E-2</v>
      </c>
      <c r="K13">
        <v>199.77987421399999</v>
      </c>
      <c r="L13">
        <v>190.754716981</v>
      </c>
    </row>
    <row r="14" spans="1:12" x14ac:dyDescent="0.25">
      <c r="A14" s="1">
        <v>45505</v>
      </c>
      <c r="B14" s="2" t="s">
        <v>12</v>
      </c>
      <c r="C14">
        <v>118</v>
      </c>
      <c r="D14">
        <v>16</v>
      </c>
      <c r="E14">
        <v>24390</v>
      </c>
      <c r="F14">
        <v>5121.8999999999996</v>
      </c>
      <c r="G14">
        <v>19268.099999999999</v>
      </c>
      <c r="H14">
        <v>3160</v>
      </c>
      <c r="I14">
        <v>16108.1</v>
      </c>
      <c r="J14">
        <v>0.13559322033898299</v>
      </c>
      <c r="K14">
        <v>163.288983051</v>
      </c>
      <c r="L14">
        <v>136.50932203400001</v>
      </c>
    </row>
    <row r="15" spans="1:12" x14ac:dyDescent="0.25">
      <c r="A15" s="1">
        <v>45505</v>
      </c>
      <c r="B15" s="2" t="s">
        <v>13</v>
      </c>
      <c r="C15">
        <v>1349</v>
      </c>
      <c r="D15">
        <v>253</v>
      </c>
      <c r="E15">
        <v>268650</v>
      </c>
      <c r="F15">
        <v>56416.5</v>
      </c>
      <c r="G15">
        <v>212233.5</v>
      </c>
      <c r="H15">
        <v>39302.5</v>
      </c>
      <c r="I15">
        <v>172931</v>
      </c>
      <c r="J15">
        <v>0.18754633061527051</v>
      </c>
      <c r="K15">
        <v>157.32653817600001</v>
      </c>
      <c r="L15">
        <v>128.19199406999999</v>
      </c>
    </row>
    <row r="16" spans="1:12" x14ac:dyDescent="0.25">
      <c r="A16" s="1">
        <v>45505</v>
      </c>
      <c r="B16" s="2" t="s">
        <v>14</v>
      </c>
      <c r="C16">
        <v>391</v>
      </c>
      <c r="D16">
        <v>54</v>
      </c>
      <c r="E16">
        <v>76650</v>
      </c>
      <c r="F16">
        <v>16096.5</v>
      </c>
      <c r="G16">
        <v>60553.5</v>
      </c>
      <c r="H16">
        <v>7694.6</v>
      </c>
      <c r="I16">
        <v>52858.9</v>
      </c>
      <c r="J16">
        <v>0.1381074168797953</v>
      </c>
      <c r="K16">
        <v>154.868286445</v>
      </c>
      <c r="L16">
        <v>135.189002558</v>
      </c>
    </row>
    <row r="17" spans="1:12" x14ac:dyDescent="0.25">
      <c r="A17" s="1">
        <v>45505</v>
      </c>
      <c r="B17" s="2" t="s">
        <v>15</v>
      </c>
      <c r="C17">
        <v>354</v>
      </c>
      <c r="D17">
        <v>18</v>
      </c>
      <c r="E17">
        <v>69420</v>
      </c>
      <c r="F17">
        <v>0</v>
      </c>
      <c r="G17">
        <v>69420</v>
      </c>
      <c r="H17">
        <v>3940</v>
      </c>
      <c r="I17">
        <v>65480</v>
      </c>
      <c r="J17">
        <v>5.0847457627118599E-2</v>
      </c>
      <c r="K17">
        <v>196.101694915</v>
      </c>
      <c r="L17">
        <v>184.971751412</v>
      </c>
    </row>
    <row r="18" spans="1:12" x14ac:dyDescent="0.25">
      <c r="A18" s="1">
        <v>45536</v>
      </c>
      <c r="B18" s="2" t="s">
        <v>12</v>
      </c>
      <c r="C18">
        <v>108</v>
      </c>
      <c r="D18">
        <v>15</v>
      </c>
      <c r="E18">
        <v>17330</v>
      </c>
      <c r="F18">
        <v>3639.3</v>
      </c>
      <c r="G18">
        <v>13690.7</v>
      </c>
      <c r="H18">
        <v>2038.2</v>
      </c>
      <c r="I18">
        <v>11652.5</v>
      </c>
      <c r="J18">
        <v>0.1388888888888889</v>
      </c>
      <c r="K18">
        <v>126.765740741</v>
      </c>
      <c r="L18">
        <v>107.893518519</v>
      </c>
    </row>
    <row r="19" spans="1:12" x14ac:dyDescent="0.25">
      <c r="A19" s="1">
        <v>45536</v>
      </c>
      <c r="B19" s="2" t="s">
        <v>13</v>
      </c>
      <c r="C19">
        <v>1320</v>
      </c>
      <c r="D19">
        <v>239</v>
      </c>
      <c r="E19">
        <v>262080</v>
      </c>
      <c r="F19">
        <v>55036.800000000003</v>
      </c>
      <c r="G19">
        <v>207043.20000000001</v>
      </c>
      <c r="H19">
        <v>39120.800000000003</v>
      </c>
      <c r="I19">
        <v>167922.4</v>
      </c>
      <c r="J19">
        <v>0.18106060606060601</v>
      </c>
      <c r="K19">
        <v>156.85090909100001</v>
      </c>
      <c r="L19">
        <v>127.21393939399999</v>
      </c>
    </row>
    <row r="20" spans="1:12" x14ac:dyDescent="0.25">
      <c r="A20" s="1">
        <v>45536</v>
      </c>
      <c r="B20" s="2" t="s">
        <v>14</v>
      </c>
      <c r="C20">
        <v>444</v>
      </c>
      <c r="D20">
        <v>62</v>
      </c>
      <c r="E20">
        <v>90930</v>
      </c>
      <c r="F20">
        <v>19095.3</v>
      </c>
      <c r="G20">
        <v>71834.7</v>
      </c>
      <c r="H20">
        <v>10088.299999999999</v>
      </c>
      <c r="I20">
        <v>61746.400000000001</v>
      </c>
      <c r="J20">
        <v>0.1396396396396396</v>
      </c>
      <c r="K20">
        <v>161.789864865</v>
      </c>
      <c r="L20">
        <v>139.06846846799999</v>
      </c>
    </row>
    <row r="21" spans="1:12" x14ac:dyDescent="0.25">
      <c r="A21" s="1">
        <v>45536</v>
      </c>
      <c r="B21" s="2" t="s">
        <v>15</v>
      </c>
      <c r="C21">
        <v>338</v>
      </c>
      <c r="D21">
        <v>7</v>
      </c>
      <c r="E21">
        <v>64300</v>
      </c>
      <c r="F21">
        <v>0</v>
      </c>
      <c r="G21">
        <v>64300</v>
      </c>
      <c r="H21">
        <v>1260</v>
      </c>
      <c r="I21">
        <v>63040</v>
      </c>
      <c r="J21">
        <v>2.07100591715976E-2</v>
      </c>
      <c r="K21">
        <v>190.23668639100001</v>
      </c>
      <c r="L21">
        <v>186.50887574000001</v>
      </c>
    </row>
    <row r="22" spans="1:12" x14ac:dyDescent="0.25">
      <c r="A22" s="1">
        <v>45566</v>
      </c>
      <c r="B22" s="2" t="s">
        <v>12</v>
      </c>
      <c r="C22">
        <v>127</v>
      </c>
      <c r="D22">
        <v>20</v>
      </c>
      <c r="E22">
        <v>22490</v>
      </c>
      <c r="F22">
        <v>4722.8999999999996</v>
      </c>
      <c r="G22">
        <v>17767.099999999999</v>
      </c>
      <c r="H22">
        <v>2891.4</v>
      </c>
      <c r="I22">
        <v>14875.7</v>
      </c>
      <c r="J22">
        <v>0.15748031496062989</v>
      </c>
      <c r="K22">
        <v>139.89842519699999</v>
      </c>
      <c r="L22">
        <v>117.131496063</v>
      </c>
    </row>
    <row r="23" spans="1:12" x14ac:dyDescent="0.25">
      <c r="A23" s="1">
        <v>45566</v>
      </c>
      <c r="B23" s="2" t="s">
        <v>13</v>
      </c>
      <c r="C23">
        <v>1484</v>
      </c>
      <c r="D23">
        <v>291</v>
      </c>
      <c r="E23">
        <v>290310</v>
      </c>
      <c r="F23">
        <v>60965.1</v>
      </c>
      <c r="G23">
        <v>229344.9</v>
      </c>
      <c r="H23">
        <v>46997.1</v>
      </c>
      <c r="I23">
        <v>182347.8</v>
      </c>
      <c r="J23">
        <v>0.1960916442048517</v>
      </c>
      <c r="K23">
        <v>154.54508086300001</v>
      </c>
      <c r="L23">
        <v>122.875876011</v>
      </c>
    </row>
    <row r="24" spans="1:12" x14ac:dyDescent="0.25">
      <c r="A24" s="1">
        <v>45566</v>
      </c>
      <c r="B24" s="2" t="s">
        <v>14</v>
      </c>
      <c r="C24">
        <v>530</v>
      </c>
      <c r="D24">
        <v>77</v>
      </c>
      <c r="E24">
        <v>97850</v>
      </c>
      <c r="F24">
        <v>20548.5</v>
      </c>
      <c r="G24">
        <v>77301.5</v>
      </c>
      <c r="H24">
        <v>10641.3</v>
      </c>
      <c r="I24">
        <v>66660.2</v>
      </c>
      <c r="J24">
        <v>0.1452830188679245</v>
      </c>
      <c r="K24">
        <v>145.85188679199999</v>
      </c>
      <c r="L24">
        <v>125.77396226400001</v>
      </c>
    </row>
    <row r="25" spans="1:12" x14ac:dyDescent="0.25">
      <c r="A25" s="1">
        <v>45566</v>
      </c>
      <c r="B25" s="2" t="s">
        <v>15</v>
      </c>
      <c r="C25">
        <v>390</v>
      </c>
      <c r="D25">
        <v>15</v>
      </c>
      <c r="E25">
        <v>83230</v>
      </c>
      <c r="F25">
        <v>0</v>
      </c>
      <c r="G25">
        <v>83230</v>
      </c>
      <c r="H25">
        <v>3670</v>
      </c>
      <c r="I25">
        <v>79560</v>
      </c>
      <c r="J25">
        <v>3.8461538461538401E-2</v>
      </c>
      <c r="K25">
        <v>213.41025640999999</v>
      </c>
      <c r="L25">
        <v>204</v>
      </c>
    </row>
    <row r="26" spans="1:12" x14ac:dyDescent="0.25">
      <c r="A26" s="1">
        <v>45597</v>
      </c>
      <c r="B26" s="2" t="s">
        <v>12</v>
      </c>
      <c r="C26">
        <v>171</v>
      </c>
      <c r="D26">
        <v>30</v>
      </c>
      <c r="E26">
        <v>39470</v>
      </c>
      <c r="F26">
        <v>8288.7000000000007</v>
      </c>
      <c r="G26">
        <v>31181.3</v>
      </c>
      <c r="H26">
        <v>5079.7</v>
      </c>
      <c r="I26">
        <v>26101.599999999999</v>
      </c>
      <c r="J26">
        <v>0.175438596491228</v>
      </c>
      <c r="K26">
        <v>182.34678362599999</v>
      </c>
      <c r="L26">
        <v>152.640935673</v>
      </c>
    </row>
    <row r="27" spans="1:12" x14ac:dyDescent="0.25">
      <c r="A27" s="1">
        <v>45597</v>
      </c>
      <c r="B27" s="2" t="s">
        <v>13</v>
      </c>
      <c r="C27">
        <v>1818</v>
      </c>
      <c r="D27">
        <v>293</v>
      </c>
      <c r="E27">
        <v>363900</v>
      </c>
      <c r="F27">
        <v>76419</v>
      </c>
      <c r="G27">
        <v>287481</v>
      </c>
      <c r="H27">
        <v>46436.2</v>
      </c>
      <c r="I27">
        <v>241044.8</v>
      </c>
      <c r="J27">
        <v>0.16116611661166111</v>
      </c>
      <c r="K27">
        <v>158.13036303600001</v>
      </c>
      <c r="L27">
        <v>132.58789879</v>
      </c>
    </row>
    <row r="28" spans="1:12" x14ac:dyDescent="0.25">
      <c r="A28" s="1">
        <v>45597</v>
      </c>
      <c r="B28" s="2" t="s">
        <v>14</v>
      </c>
      <c r="C28">
        <v>620</v>
      </c>
      <c r="D28">
        <v>81</v>
      </c>
      <c r="E28">
        <v>120520</v>
      </c>
      <c r="F28">
        <v>25309.200000000001</v>
      </c>
      <c r="G28">
        <v>95210.8</v>
      </c>
      <c r="H28">
        <v>13588</v>
      </c>
      <c r="I28">
        <v>81622.8</v>
      </c>
      <c r="J28">
        <v>0.1306451612903225</v>
      </c>
      <c r="K28">
        <v>153.565806452</v>
      </c>
      <c r="L28">
        <v>131.649677419</v>
      </c>
    </row>
    <row r="29" spans="1:12" x14ac:dyDescent="0.25">
      <c r="A29" s="1">
        <v>45597</v>
      </c>
      <c r="B29" s="2" t="s">
        <v>15</v>
      </c>
      <c r="C29">
        <v>439</v>
      </c>
      <c r="D29">
        <v>18</v>
      </c>
      <c r="E29">
        <v>88230</v>
      </c>
      <c r="F29">
        <v>0</v>
      </c>
      <c r="G29">
        <v>88230</v>
      </c>
      <c r="H29">
        <v>3150</v>
      </c>
      <c r="I29">
        <v>85080</v>
      </c>
      <c r="J29">
        <v>4.1002277904327998E-2</v>
      </c>
      <c r="K29">
        <v>200.979498861</v>
      </c>
      <c r="L29">
        <v>193.80410022800001</v>
      </c>
    </row>
    <row r="30" spans="1:12" x14ac:dyDescent="0.25">
      <c r="A30" s="1">
        <v>45627</v>
      </c>
      <c r="B30" s="2" t="s">
        <v>12</v>
      </c>
      <c r="C30">
        <v>181</v>
      </c>
      <c r="D30">
        <v>33</v>
      </c>
      <c r="E30">
        <v>36360</v>
      </c>
      <c r="F30">
        <v>7635.6</v>
      </c>
      <c r="G30">
        <v>28724.400000000001</v>
      </c>
      <c r="H30">
        <v>5135</v>
      </c>
      <c r="I30">
        <v>23589.4</v>
      </c>
      <c r="J30">
        <v>0.1823204419889502</v>
      </c>
      <c r="K30">
        <v>158.69834254099999</v>
      </c>
      <c r="L30">
        <v>130.32817679600001</v>
      </c>
    </row>
    <row r="31" spans="1:12" x14ac:dyDescent="0.25">
      <c r="A31" s="1">
        <v>45627</v>
      </c>
      <c r="B31" s="2" t="s">
        <v>13</v>
      </c>
      <c r="C31">
        <v>1997</v>
      </c>
      <c r="D31">
        <v>342</v>
      </c>
      <c r="E31">
        <v>391970</v>
      </c>
      <c r="F31">
        <v>82313.7</v>
      </c>
      <c r="G31">
        <v>309656.3</v>
      </c>
      <c r="H31">
        <v>54265.1</v>
      </c>
      <c r="I31">
        <v>255391.2</v>
      </c>
      <c r="J31">
        <v>0.17125688532799199</v>
      </c>
      <c r="K31">
        <v>155.06074111199999</v>
      </c>
      <c r="L31">
        <v>127.887431147</v>
      </c>
    </row>
    <row r="32" spans="1:12" x14ac:dyDescent="0.25">
      <c r="A32" s="1">
        <v>45627</v>
      </c>
      <c r="B32" s="2" t="s">
        <v>14</v>
      </c>
      <c r="C32">
        <v>737</v>
      </c>
      <c r="D32">
        <v>65</v>
      </c>
      <c r="E32">
        <v>142850</v>
      </c>
      <c r="F32">
        <v>29998.5</v>
      </c>
      <c r="G32">
        <v>112851.5</v>
      </c>
      <c r="H32">
        <v>9638</v>
      </c>
      <c r="I32">
        <v>103213.5</v>
      </c>
      <c r="J32">
        <v>8.8195386702849293E-2</v>
      </c>
      <c r="K32">
        <v>153.122795115</v>
      </c>
      <c r="L32">
        <v>140.04545454500001</v>
      </c>
    </row>
    <row r="33" spans="1:12" x14ac:dyDescent="0.25">
      <c r="A33" s="1">
        <v>45627</v>
      </c>
      <c r="B33" s="2" t="s">
        <v>15</v>
      </c>
      <c r="C33">
        <v>517</v>
      </c>
      <c r="D33">
        <v>24</v>
      </c>
      <c r="E33">
        <v>99340</v>
      </c>
      <c r="F33">
        <v>0</v>
      </c>
      <c r="G33">
        <v>99340</v>
      </c>
      <c r="H33">
        <v>5290</v>
      </c>
      <c r="I33">
        <v>94050</v>
      </c>
      <c r="J33">
        <v>4.6421663442939999E-2</v>
      </c>
      <c r="K33">
        <v>192.147001934</v>
      </c>
      <c r="L33">
        <v>181.91489361699999</v>
      </c>
    </row>
    <row r="34" spans="1:12" x14ac:dyDescent="0.25">
      <c r="A34" s="1">
        <v>45658</v>
      </c>
      <c r="B34" s="2" t="s">
        <v>12</v>
      </c>
      <c r="C34">
        <v>96</v>
      </c>
      <c r="D34">
        <v>10</v>
      </c>
      <c r="E34">
        <v>17520</v>
      </c>
      <c r="F34">
        <v>3679.2</v>
      </c>
      <c r="G34">
        <v>13840.8</v>
      </c>
      <c r="H34">
        <v>1279.8</v>
      </c>
      <c r="I34">
        <v>12561</v>
      </c>
      <c r="J34">
        <v>0.1041666666666666</v>
      </c>
      <c r="K34">
        <v>144.17500000000001</v>
      </c>
      <c r="L34">
        <v>130.84375</v>
      </c>
    </row>
    <row r="35" spans="1:12" x14ac:dyDescent="0.25">
      <c r="A35" s="1">
        <v>45658</v>
      </c>
      <c r="B35" s="2" t="s">
        <v>13</v>
      </c>
      <c r="C35">
        <v>1179</v>
      </c>
      <c r="D35">
        <v>217</v>
      </c>
      <c r="E35">
        <v>235470</v>
      </c>
      <c r="F35">
        <v>49448.7</v>
      </c>
      <c r="G35">
        <v>186021.3</v>
      </c>
      <c r="H35">
        <v>35320.9</v>
      </c>
      <c r="I35">
        <v>150700.4</v>
      </c>
      <c r="J35">
        <v>0.18405428329092449</v>
      </c>
      <c r="K35">
        <v>157.778880407</v>
      </c>
      <c r="L35">
        <v>127.82052586899999</v>
      </c>
    </row>
    <row r="36" spans="1:12" x14ac:dyDescent="0.25">
      <c r="A36" s="1">
        <v>45658</v>
      </c>
      <c r="B36" s="2" t="s">
        <v>14</v>
      </c>
      <c r="C36">
        <v>427</v>
      </c>
      <c r="D36">
        <v>49</v>
      </c>
      <c r="E36">
        <v>81300</v>
      </c>
      <c r="F36">
        <v>17073</v>
      </c>
      <c r="G36">
        <v>64227</v>
      </c>
      <c r="H36">
        <v>7031</v>
      </c>
      <c r="I36">
        <v>57196</v>
      </c>
      <c r="J36">
        <v>0.1147540983606557</v>
      </c>
      <c r="K36">
        <v>150.41451990600001</v>
      </c>
      <c r="L36">
        <v>133.948477752</v>
      </c>
    </row>
    <row r="37" spans="1:12" x14ac:dyDescent="0.25">
      <c r="A37" s="1">
        <v>45658</v>
      </c>
      <c r="B37" s="2" t="s">
        <v>15</v>
      </c>
      <c r="C37">
        <v>314</v>
      </c>
      <c r="D37">
        <v>21</v>
      </c>
      <c r="E37">
        <v>61810</v>
      </c>
      <c r="F37">
        <v>0</v>
      </c>
      <c r="G37">
        <v>61810</v>
      </c>
      <c r="H37">
        <v>4480</v>
      </c>
      <c r="I37">
        <v>57330</v>
      </c>
      <c r="J37">
        <v>6.6878980891719703E-2</v>
      </c>
      <c r="K37">
        <v>196.84713375800001</v>
      </c>
      <c r="L37">
        <v>182.579617834</v>
      </c>
    </row>
    <row r="38" spans="1:12" x14ac:dyDescent="0.25">
      <c r="A38" s="1">
        <v>45689</v>
      </c>
      <c r="B38" s="2" t="s">
        <v>12</v>
      </c>
      <c r="C38">
        <v>98</v>
      </c>
      <c r="D38">
        <v>15</v>
      </c>
      <c r="E38">
        <v>19790</v>
      </c>
      <c r="F38">
        <v>4155.8999999999996</v>
      </c>
      <c r="G38">
        <v>15634.1</v>
      </c>
      <c r="H38">
        <v>2196.1999999999998</v>
      </c>
      <c r="I38">
        <v>13437.9</v>
      </c>
      <c r="J38">
        <v>0.15306122448979589</v>
      </c>
      <c r="K38">
        <v>159.531632653</v>
      </c>
      <c r="L38">
        <v>137.121428571</v>
      </c>
    </row>
    <row r="39" spans="1:12" x14ac:dyDescent="0.25">
      <c r="A39" s="1">
        <v>45689</v>
      </c>
      <c r="B39" s="2" t="s">
        <v>13</v>
      </c>
      <c r="C39">
        <v>1034</v>
      </c>
      <c r="D39">
        <v>194</v>
      </c>
      <c r="E39">
        <v>213400</v>
      </c>
      <c r="F39">
        <v>44814</v>
      </c>
      <c r="G39">
        <v>168586</v>
      </c>
      <c r="H39">
        <v>29941</v>
      </c>
      <c r="I39">
        <v>138645</v>
      </c>
      <c r="J39">
        <v>0.18762088974854929</v>
      </c>
      <c r="K39">
        <v>163.042553191</v>
      </c>
      <c r="L39">
        <v>134.08607350099999</v>
      </c>
    </row>
    <row r="40" spans="1:12" x14ac:dyDescent="0.25">
      <c r="A40" s="1">
        <v>45689</v>
      </c>
      <c r="B40" s="2" t="s">
        <v>14</v>
      </c>
      <c r="C40">
        <v>331</v>
      </c>
      <c r="D40">
        <v>28</v>
      </c>
      <c r="E40">
        <v>65690</v>
      </c>
      <c r="F40">
        <v>13794.9</v>
      </c>
      <c r="G40">
        <v>51895.1</v>
      </c>
      <c r="H40">
        <v>4819</v>
      </c>
      <c r="I40">
        <v>47076.1</v>
      </c>
      <c r="J40">
        <v>8.4592145015105702E-2</v>
      </c>
      <c r="K40">
        <v>156.78277945599999</v>
      </c>
      <c r="L40">
        <v>142.22386706899999</v>
      </c>
    </row>
    <row r="41" spans="1:12" x14ac:dyDescent="0.25">
      <c r="A41" s="1">
        <v>45689</v>
      </c>
      <c r="B41" s="2" t="s">
        <v>15</v>
      </c>
      <c r="C41">
        <v>256</v>
      </c>
      <c r="D41">
        <v>15</v>
      </c>
      <c r="E41">
        <v>50380</v>
      </c>
      <c r="F41">
        <v>0</v>
      </c>
      <c r="G41">
        <v>50380</v>
      </c>
      <c r="H41">
        <v>3180</v>
      </c>
      <c r="I41">
        <v>47200</v>
      </c>
      <c r="J41">
        <v>5.859375E-2</v>
      </c>
      <c r="K41">
        <v>196.796875</v>
      </c>
      <c r="L41">
        <v>184.375</v>
      </c>
    </row>
    <row r="42" spans="1:12" x14ac:dyDescent="0.25">
      <c r="A42" s="1">
        <v>45717</v>
      </c>
      <c r="B42" s="2" t="s">
        <v>12</v>
      </c>
      <c r="C42">
        <v>103</v>
      </c>
      <c r="D42">
        <v>11</v>
      </c>
      <c r="E42">
        <v>19180</v>
      </c>
      <c r="F42">
        <v>4027.8</v>
      </c>
      <c r="G42">
        <v>15152.2</v>
      </c>
      <c r="H42">
        <v>1303.5</v>
      </c>
      <c r="I42">
        <v>13848.7</v>
      </c>
      <c r="J42">
        <v>0.10679611650485429</v>
      </c>
      <c r="K42">
        <v>147.10873786400001</v>
      </c>
      <c r="L42">
        <v>134.453398058</v>
      </c>
    </row>
    <row r="43" spans="1:12" x14ac:dyDescent="0.25">
      <c r="A43" s="1">
        <v>45717</v>
      </c>
      <c r="B43" s="2" t="s">
        <v>13</v>
      </c>
      <c r="C43">
        <v>1412</v>
      </c>
      <c r="D43">
        <v>252</v>
      </c>
      <c r="E43">
        <v>276560</v>
      </c>
      <c r="F43">
        <v>58077.599999999999</v>
      </c>
      <c r="G43">
        <v>218482.4</v>
      </c>
      <c r="H43">
        <v>40361.1</v>
      </c>
      <c r="I43">
        <v>178121.3</v>
      </c>
      <c r="J43">
        <v>0.17847025495750701</v>
      </c>
      <c r="K43">
        <v>154.73257790400001</v>
      </c>
      <c r="L43">
        <v>126.148229462</v>
      </c>
    </row>
    <row r="44" spans="1:12" x14ac:dyDescent="0.25">
      <c r="A44" s="1">
        <v>45717</v>
      </c>
      <c r="B44" s="2" t="s">
        <v>14</v>
      </c>
      <c r="C44">
        <v>488</v>
      </c>
      <c r="D44">
        <v>61</v>
      </c>
      <c r="E44">
        <v>99400</v>
      </c>
      <c r="F44">
        <v>20874</v>
      </c>
      <c r="G44">
        <v>78526</v>
      </c>
      <c r="H44">
        <v>11470.8</v>
      </c>
      <c r="I44">
        <v>67055.199999999997</v>
      </c>
      <c r="J44">
        <v>0.125</v>
      </c>
      <c r="K44">
        <v>160.913934426</v>
      </c>
      <c r="L44">
        <v>137.408196721</v>
      </c>
    </row>
    <row r="45" spans="1:12" x14ac:dyDescent="0.25">
      <c r="A45" s="1">
        <v>45717</v>
      </c>
      <c r="B45" s="2" t="s">
        <v>15</v>
      </c>
      <c r="C45">
        <v>364</v>
      </c>
      <c r="D45">
        <v>18</v>
      </c>
      <c r="E45">
        <v>71610</v>
      </c>
      <c r="F45">
        <v>0</v>
      </c>
      <c r="G45">
        <v>71610</v>
      </c>
      <c r="H45">
        <v>4520</v>
      </c>
      <c r="I45">
        <v>67090</v>
      </c>
      <c r="J45">
        <v>4.94505494505494E-2</v>
      </c>
      <c r="K45">
        <v>196.73076923100001</v>
      </c>
      <c r="L45">
        <v>184.31318681299999</v>
      </c>
    </row>
    <row r="46" spans="1:12" x14ac:dyDescent="0.25">
      <c r="A46" s="1">
        <v>45748</v>
      </c>
      <c r="B46" s="2" t="s">
        <v>12</v>
      </c>
      <c r="C46">
        <v>148</v>
      </c>
      <c r="D46">
        <v>19</v>
      </c>
      <c r="E46">
        <v>25640</v>
      </c>
      <c r="F46">
        <v>5384.4</v>
      </c>
      <c r="G46">
        <v>20255.599999999999</v>
      </c>
      <c r="H46">
        <v>3041.5</v>
      </c>
      <c r="I46">
        <v>17214.099999999999</v>
      </c>
      <c r="J46">
        <v>0.12837837837837829</v>
      </c>
      <c r="K46">
        <v>136.862162162</v>
      </c>
      <c r="L46">
        <v>116.31148648600001</v>
      </c>
    </row>
    <row r="47" spans="1:12" x14ac:dyDescent="0.25">
      <c r="A47" s="1">
        <v>45748</v>
      </c>
      <c r="B47" s="2" t="s">
        <v>13</v>
      </c>
      <c r="C47">
        <v>1500</v>
      </c>
      <c r="D47">
        <v>286</v>
      </c>
      <c r="E47">
        <v>291040</v>
      </c>
      <c r="F47">
        <v>61118.400000000001</v>
      </c>
      <c r="G47">
        <v>229921.6</v>
      </c>
      <c r="H47">
        <v>42636.3</v>
      </c>
      <c r="I47">
        <v>187285.3</v>
      </c>
      <c r="J47">
        <v>0.1906666666666666</v>
      </c>
      <c r="K47">
        <v>153.281066667</v>
      </c>
      <c r="L47">
        <v>124.85686666700001</v>
      </c>
    </row>
    <row r="48" spans="1:12" x14ac:dyDescent="0.25">
      <c r="A48" s="1">
        <v>45748</v>
      </c>
      <c r="B48" s="2" t="s">
        <v>14</v>
      </c>
      <c r="C48">
        <v>484</v>
      </c>
      <c r="D48">
        <v>76</v>
      </c>
      <c r="E48">
        <v>93720</v>
      </c>
      <c r="F48">
        <v>19681.2</v>
      </c>
      <c r="G48">
        <v>74038.8</v>
      </c>
      <c r="H48">
        <v>11778.9</v>
      </c>
      <c r="I48">
        <v>62259.9</v>
      </c>
      <c r="J48">
        <v>0.1570247933884297</v>
      </c>
      <c r="K48">
        <v>152.972727273</v>
      </c>
      <c r="L48">
        <v>128.63615702499999</v>
      </c>
    </row>
    <row r="49" spans="1:12" x14ac:dyDescent="0.25">
      <c r="A49" s="1">
        <v>45748</v>
      </c>
      <c r="B49" s="2" t="s">
        <v>15</v>
      </c>
      <c r="C49">
        <v>374</v>
      </c>
      <c r="D49">
        <v>17</v>
      </c>
      <c r="E49">
        <v>70780</v>
      </c>
      <c r="F49">
        <v>0</v>
      </c>
      <c r="G49">
        <v>70780</v>
      </c>
      <c r="H49">
        <v>4150</v>
      </c>
      <c r="I49">
        <v>66630</v>
      </c>
      <c r="J49">
        <v>4.54545454545454E-2</v>
      </c>
      <c r="K49">
        <v>189.25133689800001</v>
      </c>
      <c r="L49">
        <v>178.15508021400001</v>
      </c>
    </row>
    <row r="50" spans="1:12" x14ac:dyDescent="0.25">
      <c r="A50" s="1">
        <v>45778</v>
      </c>
      <c r="B50" s="2" t="s">
        <v>12</v>
      </c>
      <c r="C50">
        <v>161</v>
      </c>
      <c r="D50">
        <v>26</v>
      </c>
      <c r="E50">
        <v>31440</v>
      </c>
      <c r="F50">
        <v>6602.4</v>
      </c>
      <c r="G50">
        <v>24837.599999999999</v>
      </c>
      <c r="H50">
        <v>3673.5</v>
      </c>
      <c r="I50">
        <v>21164.1</v>
      </c>
      <c r="J50">
        <v>0.16149068322981361</v>
      </c>
      <c r="K50">
        <v>154.270807453</v>
      </c>
      <c r="L50">
        <v>131.45403726699999</v>
      </c>
    </row>
    <row r="51" spans="1:12" x14ac:dyDescent="0.25">
      <c r="A51" s="1">
        <v>45778</v>
      </c>
      <c r="B51" s="2" t="s">
        <v>13</v>
      </c>
      <c r="C51">
        <v>1623</v>
      </c>
      <c r="D51">
        <v>270</v>
      </c>
      <c r="E51">
        <v>317900</v>
      </c>
      <c r="F51">
        <v>66759</v>
      </c>
      <c r="G51">
        <v>251141</v>
      </c>
      <c r="H51">
        <v>44769.3</v>
      </c>
      <c r="I51">
        <v>206371.7</v>
      </c>
      <c r="J51">
        <v>0.166358595194085</v>
      </c>
      <c r="K51">
        <v>154.73875539100001</v>
      </c>
      <c r="L51">
        <v>127.154467036</v>
      </c>
    </row>
    <row r="52" spans="1:12" x14ac:dyDescent="0.25">
      <c r="A52" s="1">
        <v>45778</v>
      </c>
      <c r="B52" s="2" t="s">
        <v>14</v>
      </c>
      <c r="C52">
        <v>514</v>
      </c>
      <c r="D52">
        <v>69</v>
      </c>
      <c r="E52">
        <v>95750</v>
      </c>
      <c r="F52">
        <v>20107.5</v>
      </c>
      <c r="G52">
        <v>75642.5</v>
      </c>
      <c r="H52">
        <v>10206.799999999999</v>
      </c>
      <c r="I52">
        <v>65435.7</v>
      </c>
      <c r="J52">
        <v>0.13424124513618671</v>
      </c>
      <c r="K52">
        <v>147.16439688700001</v>
      </c>
      <c r="L52">
        <v>127.306809339</v>
      </c>
    </row>
    <row r="53" spans="1:12" x14ac:dyDescent="0.25">
      <c r="A53" s="1">
        <v>45778</v>
      </c>
      <c r="B53" s="2" t="s">
        <v>15</v>
      </c>
      <c r="C53">
        <v>380</v>
      </c>
      <c r="D53">
        <v>18</v>
      </c>
      <c r="E53">
        <v>73050</v>
      </c>
      <c r="F53">
        <v>0</v>
      </c>
      <c r="G53">
        <v>73050</v>
      </c>
      <c r="H53">
        <v>4100</v>
      </c>
      <c r="I53">
        <v>68950</v>
      </c>
      <c r="J53">
        <v>4.7368421052631497E-2</v>
      </c>
      <c r="K53">
        <v>192.23684210499999</v>
      </c>
      <c r="L53">
        <v>181.44736842099999</v>
      </c>
    </row>
    <row r="54" spans="1:12" x14ac:dyDescent="0.25">
      <c r="A54" s="1">
        <v>45809</v>
      </c>
      <c r="B54" s="2" t="s">
        <v>12</v>
      </c>
      <c r="C54">
        <v>151</v>
      </c>
      <c r="D54">
        <v>23</v>
      </c>
      <c r="E54">
        <v>28980</v>
      </c>
      <c r="F54">
        <v>6085.8</v>
      </c>
      <c r="G54">
        <v>22894.2</v>
      </c>
      <c r="H54">
        <v>2701.8</v>
      </c>
      <c r="I54">
        <v>20192.400000000001</v>
      </c>
      <c r="J54">
        <v>0.15231788079470199</v>
      </c>
      <c r="K54">
        <v>151.61721854300001</v>
      </c>
      <c r="L54">
        <v>133.72450331100001</v>
      </c>
    </row>
    <row r="55" spans="1:12" x14ac:dyDescent="0.25">
      <c r="A55" s="1">
        <v>45809</v>
      </c>
      <c r="B55" s="2" t="s">
        <v>13</v>
      </c>
      <c r="C55">
        <v>1603</v>
      </c>
      <c r="D55">
        <v>289</v>
      </c>
      <c r="E55">
        <v>326700</v>
      </c>
      <c r="F55">
        <v>68607</v>
      </c>
      <c r="G55">
        <v>258093</v>
      </c>
      <c r="H55">
        <v>42699.5</v>
      </c>
      <c r="I55">
        <v>215393.5</v>
      </c>
      <c r="J55">
        <v>0.1802869619463506</v>
      </c>
      <c r="K55">
        <v>161.006238303</v>
      </c>
      <c r="L55">
        <v>134.368995633</v>
      </c>
    </row>
    <row r="56" spans="1:12" x14ac:dyDescent="0.25">
      <c r="A56" s="1">
        <v>45809</v>
      </c>
      <c r="B56" s="2" t="s">
        <v>14</v>
      </c>
      <c r="C56">
        <v>606</v>
      </c>
      <c r="D56">
        <v>79</v>
      </c>
      <c r="E56">
        <v>128420</v>
      </c>
      <c r="F56">
        <v>26968.2</v>
      </c>
      <c r="G56">
        <v>101451.8</v>
      </c>
      <c r="H56">
        <v>13430</v>
      </c>
      <c r="I56">
        <v>88021.8</v>
      </c>
      <c r="J56">
        <v>0.1303630363036303</v>
      </c>
      <c r="K56">
        <v>167.41221122100001</v>
      </c>
      <c r="L56">
        <v>145.25049505000001</v>
      </c>
    </row>
    <row r="57" spans="1:12" x14ac:dyDescent="0.25">
      <c r="A57" s="1">
        <v>45809</v>
      </c>
      <c r="B57" s="2" t="s">
        <v>15</v>
      </c>
      <c r="C57">
        <v>445</v>
      </c>
      <c r="D57">
        <v>17</v>
      </c>
      <c r="E57">
        <v>88340</v>
      </c>
      <c r="F57">
        <v>0</v>
      </c>
      <c r="G57">
        <v>88340</v>
      </c>
      <c r="H57">
        <v>2720</v>
      </c>
      <c r="I57">
        <v>85620</v>
      </c>
      <c r="J57">
        <v>3.8202247191011202E-2</v>
      </c>
      <c r="K57">
        <v>198.51685393299999</v>
      </c>
      <c r="L57">
        <v>192.404494382</v>
      </c>
    </row>
    <row r="58" spans="1:12" x14ac:dyDescent="0.25">
      <c r="A58" s="1">
        <v>45839</v>
      </c>
      <c r="B58" s="2" t="s">
        <v>12</v>
      </c>
      <c r="C58">
        <v>145</v>
      </c>
      <c r="D58">
        <v>19</v>
      </c>
      <c r="E58">
        <v>27550</v>
      </c>
      <c r="F58">
        <v>5785.5</v>
      </c>
      <c r="G58">
        <v>21764.5</v>
      </c>
      <c r="H58">
        <v>2717.6</v>
      </c>
      <c r="I58">
        <v>19046.900000000001</v>
      </c>
      <c r="J58">
        <v>0.1310344827586207</v>
      </c>
      <c r="K58">
        <v>150.1</v>
      </c>
      <c r="L58">
        <v>131.35793103399999</v>
      </c>
    </row>
    <row r="59" spans="1:12" x14ac:dyDescent="0.25">
      <c r="A59" s="1">
        <v>45839</v>
      </c>
      <c r="B59" s="2" t="s">
        <v>13</v>
      </c>
      <c r="C59">
        <v>1654</v>
      </c>
      <c r="D59">
        <v>315</v>
      </c>
      <c r="E59">
        <v>327990</v>
      </c>
      <c r="F59">
        <v>68877.899999999994</v>
      </c>
      <c r="G59">
        <v>259112.1</v>
      </c>
      <c r="H59">
        <v>51626.5</v>
      </c>
      <c r="I59">
        <v>207485.6</v>
      </c>
      <c r="J59">
        <v>0.1904474002418379</v>
      </c>
      <c r="K59">
        <v>156.657859734</v>
      </c>
      <c r="L59">
        <v>125.444740024</v>
      </c>
    </row>
    <row r="60" spans="1:12" x14ac:dyDescent="0.25">
      <c r="A60" s="1">
        <v>45839</v>
      </c>
      <c r="B60" s="2" t="s">
        <v>14</v>
      </c>
      <c r="C60">
        <v>486</v>
      </c>
      <c r="D60">
        <v>88</v>
      </c>
      <c r="E60">
        <v>94330</v>
      </c>
      <c r="F60">
        <v>19809.3</v>
      </c>
      <c r="G60">
        <v>74520.7</v>
      </c>
      <c r="H60">
        <v>12197.6</v>
      </c>
      <c r="I60">
        <v>62323.1</v>
      </c>
      <c r="J60">
        <v>0.18106995884773661</v>
      </c>
      <c r="K60">
        <v>153.33477366299999</v>
      </c>
      <c r="L60">
        <v>128.236831276</v>
      </c>
    </row>
    <row r="61" spans="1:12" x14ac:dyDescent="0.25">
      <c r="A61" s="1">
        <v>45839</v>
      </c>
      <c r="B61" s="2" t="s">
        <v>15</v>
      </c>
      <c r="C61">
        <v>437</v>
      </c>
      <c r="D61">
        <v>18</v>
      </c>
      <c r="E61">
        <v>85750</v>
      </c>
      <c r="F61">
        <v>0</v>
      </c>
      <c r="G61">
        <v>85750</v>
      </c>
      <c r="H61">
        <v>2810</v>
      </c>
      <c r="I61">
        <v>82940</v>
      </c>
      <c r="J61">
        <v>4.1189931350114402E-2</v>
      </c>
      <c r="K61">
        <v>196.224256293</v>
      </c>
      <c r="L61">
        <v>189.79405034300001</v>
      </c>
    </row>
    <row r="62" spans="1:12" x14ac:dyDescent="0.25">
      <c r="A62" s="1">
        <v>45870</v>
      </c>
      <c r="B62" s="2" t="s">
        <v>12</v>
      </c>
      <c r="C62">
        <v>110</v>
      </c>
      <c r="D62">
        <v>12</v>
      </c>
      <c r="E62">
        <v>20830</v>
      </c>
      <c r="F62">
        <v>4374.3</v>
      </c>
      <c r="G62">
        <v>16455.7</v>
      </c>
      <c r="H62">
        <v>1390.4</v>
      </c>
      <c r="I62">
        <v>15065.3</v>
      </c>
      <c r="J62">
        <v>0.109090909090909</v>
      </c>
      <c r="K62">
        <v>149.59727272699999</v>
      </c>
      <c r="L62">
        <v>136.957272727</v>
      </c>
    </row>
    <row r="63" spans="1:12" x14ac:dyDescent="0.25">
      <c r="A63" s="1">
        <v>45870</v>
      </c>
      <c r="B63" s="2" t="s">
        <v>13</v>
      </c>
      <c r="C63">
        <v>1538</v>
      </c>
      <c r="D63">
        <v>271</v>
      </c>
      <c r="E63">
        <v>297110</v>
      </c>
      <c r="F63">
        <v>62393.1</v>
      </c>
      <c r="G63">
        <v>234716.9</v>
      </c>
      <c r="H63">
        <v>43110.3</v>
      </c>
      <c r="I63">
        <v>191606.6</v>
      </c>
      <c r="J63">
        <v>0.1762028608582574</v>
      </c>
      <c r="K63">
        <v>152.611768531</v>
      </c>
      <c r="L63">
        <v>124.581664499</v>
      </c>
    </row>
    <row r="64" spans="1:12" x14ac:dyDescent="0.25">
      <c r="A64" s="1">
        <v>45870</v>
      </c>
      <c r="B64" s="2" t="s">
        <v>14</v>
      </c>
      <c r="C64">
        <v>542</v>
      </c>
      <c r="D64">
        <v>53</v>
      </c>
      <c r="E64">
        <v>106090</v>
      </c>
      <c r="F64">
        <v>22278.9</v>
      </c>
      <c r="G64">
        <v>83811.100000000006</v>
      </c>
      <c r="H64">
        <v>7915.8</v>
      </c>
      <c r="I64">
        <v>75895.3</v>
      </c>
      <c r="J64">
        <v>9.7785977859778495E-2</v>
      </c>
      <c r="K64">
        <v>154.63302583000001</v>
      </c>
      <c r="L64">
        <v>140.02822878200001</v>
      </c>
    </row>
    <row r="65" spans="1:12" x14ac:dyDescent="0.25">
      <c r="A65" s="1">
        <v>45870</v>
      </c>
      <c r="B65" s="2" t="s">
        <v>15</v>
      </c>
      <c r="C65">
        <v>367</v>
      </c>
      <c r="D65">
        <v>7</v>
      </c>
      <c r="E65">
        <v>71360</v>
      </c>
      <c r="F65">
        <v>0</v>
      </c>
      <c r="G65">
        <v>71360</v>
      </c>
      <c r="H65">
        <v>2030</v>
      </c>
      <c r="I65">
        <v>69330</v>
      </c>
      <c r="J65">
        <v>1.9073569482288801E-2</v>
      </c>
      <c r="K65">
        <v>194.44141689400001</v>
      </c>
      <c r="L65">
        <v>188.910081744</v>
      </c>
    </row>
    <row r="66" spans="1:12" x14ac:dyDescent="0.25">
      <c r="A66" s="1">
        <v>45901</v>
      </c>
      <c r="B66" s="2" t="s">
        <v>12</v>
      </c>
      <c r="C66">
        <v>141</v>
      </c>
      <c r="D66">
        <v>20</v>
      </c>
      <c r="E66">
        <v>30030</v>
      </c>
      <c r="F66">
        <v>6306.3</v>
      </c>
      <c r="G66">
        <v>23723.7</v>
      </c>
      <c r="H66">
        <v>2425.3000000000002</v>
      </c>
      <c r="I66">
        <v>21298.400000000001</v>
      </c>
      <c r="J66">
        <v>0.1418439716312056</v>
      </c>
      <c r="K66">
        <v>168.25319148899999</v>
      </c>
      <c r="L66">
        <v>151.05248227000001</v>
      </c>
    </row>
    <row r="67" spans="1:12" x14ac:dyDescent="0.25">
      <c r="A67" s="1">
        <v>45901</v>
      </c>
      <c r="B67" s="2" t="s">
        <v>13</v>
      </c>
      <c r="C67">
        <v>1658</v>
      </c>
      <c r="D67">
        <v>298</v>
      </c>
      <c r="E67">
        <v>323000</v>
      </c>
      <c r="F67">
        <v>67830</v>
      </c>
      <c r="G67">
        <v>255170</v>
      </c>
      <c r="H67">
        <v>44437.5</v>
      </c>
      <c r="I67">
        <v>210732.5</v>
      </c>
      <c r="J67">
        <v>0.17973462002412541</v>
      </c>
      <c r="K67">
        <v>153.902291918</v>
      </c>
      <c r="L67">
        <v>127.10042219499999</v>
      </c>
    </row>
    <row r="68" spans="1:12" x14ac:dyDescent="0.25">
      <c r="A68" s="1">
        <v>45901</v>
      </c>
      <c r="B68" s="2" t="s">
        <v>14</v>
      </c>
      <c r="C68">
        <v>519</v>
      </c>
      <c r="D68">
        <v>70</v>
      </c>
      <c r="E68">
        <v>101060</v>
      </c>
      <c r="F68">
        <v>21222.6</v>
      </c>
      <c r="G68">
        <v>79837.399999999994</v>
      </c>
      <c r="H68">
        <v>11597.2</v>
      </c>
      <c r="I68">
        <v>68240.2</v>
      </c>
      <c r="J68">
        <v>0.13487475915221581</v>
      </c>
      <c r="K68">
        <v>153.829287091</v>
      </c>
      <c r="L68">
        <v>131.48400770699999</v>
      </c>
    </row>
    <row r="69" spans="1:12" x14ac:dyDescent="0.25">
      <c r="A69" s="1">
        <v>45901</v>
      </c>
      <c r="B69" s="2" t="s">
        <v>15</v>
      </c>
      <c r="C69">
        <v>371</v>
      </c>
      <c r="D69">
        <v>20</v>
      </c>
      <c r="E69">
        <v>72550</v>
      </c>
      <c r="F69">
        <v>0</v>
      </c>
      <c r="G69">
        <v>72550</v>
      </c>
      <c r="H69">
        <v>2700</v>
      </c>
      <c r="I69">
        <v>69850</v>
      </c>
      <c r="J69">
        <v>5.3908355795148202E-2</v>
      </c>
      <c r="K69">
        <v>195.55256064700001</v>
      </c>
      <c r="L69">
        <v>188.27493261500001</v>
      </c>
    </row>
    <row r="70" spans="1:12" x14ac:dyDescent="0.25">
      <c r="A70" s="1">
        <v>45931</v>
      </c>
      <c r="B70" s="2" t="s">
        <v>12</v>
      </c>
      <c r="C70">
        <v>129</v>
      </c>
      <c r="D70">
        <v>21</v>
      </c>
      <c r="E70">
        <v>27680</v>
      </c>
      <c r="F70">
        <v>5812.8</v>
      </c>
      <c r="G70">
        <v>21867.200000000001</v>
      </c>
      <c r="H70">
        <v>2930.9</v>
      </c>
      <c r="I70">
        <v>18936.3</v>
      </c>
      <c r="J70">
        <v>0.16279069767441859</v>
      </c>
      <c r="K70">
        <v>169.51317829499999</v>
      </c>
      <c r="L70">
        <v>146.793023256</v>
      </c>
    </row>
    <row r="71" spans="1:12" x14ac:dyDescent="0.25">
      <c r="A71" s="1">
        <v>45931</v>
      </c>
      <c r="B71" s="2" t="s">
        <v>13</v>
      </c>
      <c r="C71">
        <v>1748</v>
      </c>
      <c r="D71">
        <v>323</v>
      </c>
      <c r="E71">
        <v>340150</v>
      </c>
      <c r="F71">
        <v>71431.5</v>
      </c>
      <c r="G71">
        <v>268718.5</v>
      </c>
      <c r="H71">
        <v>47747.6</v>
      </c>
      <c r="I71">
        <v>220970.9</v>
      </c>
      <c r="J71">
        <v>0.18478260869565211</v>
      </c>
      <c r="K71">
        <v>153.72911899299999</v>
      </c>
      <c r="L71">
        <v>126.413558352</v>
      </c>
    </row>
    <row r="72" spans="1:12" x14ac:dyDescent="0.25">
      <c r="A72" s="1">
        <v>45931</v>
      </c>
      <c r="B72" s="2" t="s">
        <v>14</v>
      </c>
      <c r="C72">
        <v>557</v>
      </c>
      <c r="D72">
        <v>82</v>
      </c>
      <c r="E72">
        <v>109350</v>
      </c>
      <c r="F72">
        <v>22963.5</v>
      </c>
      <c r="G72">
        <v>86386.5</v>
      </c>
      <c r="H72">
        <v>11936.9</v>
      </c>
      <c r="I72">
        <v>74449.600000000006</v>
      </c>
      <c r="J72">
        <v>0.14721723518850979</v>
      </c>
      <c r="K72">
        <v>155.09245960499999</v>
      </c>
      <c r="L72">
        <v>133.66175942500001</v>
      </c>
    </row>
    <row r="73" spans="1:12" x14ac:dyDescent="0.25">
      <c r="A73" s="1">
        <v>45931</v>
      </c>
      <c r="B73" s="2" t="s">
        <v>15</v>
      </c>
      <c r="C73">
        <v>394</v>
      </c>
      <c r="D73">
        <v>20</v>
      </c>
      <c r="E73">
        <v>78860</v>
      </c>
      <c r="F73">
        <v>0</v>
      </c>
      <c r="G73">
        <v>78860</v>
      </c>
      <c r="H73">
        <v>3870</v>
      </c>
      <c r="I73">
        <v>74990</v>
      </c>
      <c r="J73">
        <v>5.0761421319796898E-2</v>
      </c>
      <c r="K73">
        <v>200.152284264</v>
      </c>
      <c r="L73">
        <v>190.329949239</v>
      </c>
    </row>
    <row r="74" spans="1:12" x14ac:dyDescent="0.25">
      <c r="A74" s="1">
        <v>45962</v>
      </c>
      <c r="B74" s="2" t="s">
        <v>12</v>
      </c>
      <c r="C74">
        <v>193</v>
      </c>
      <c r="D74">
        <v>27</v>
      </c>
      <c r="E74">
        <v>40530</v>
      </c>
      <c r="F74">
        <v>8511.2999999999993</v>
      </c>
      <c r="G74">
        <v>32018.7</v>
      </c>
      <c r="H74">
        <v>5040.2</v>
      </c>
      <c r="I74">
        <v>26978.5</v>
      </c>
      <c r="J74">
        <v>0.13989637305699479</v>
      </c>
      <c r="K74">
        <v>165.9</v>
      </c>
      <c r="L74">
        <v>139.78497409299999</v>
      </c>
    </row>
    <row r="75" spans="1:12" x14ac:dyDescent="0.25">
      <c r="A75" s="1">
        <v>45962</v>
      </c>
      <c r="B75" s="2" t="s">
        <v>13</v>
      </c>
      <c r="C75">
        <v>2142</v>
      </c>
      <c r="D75">
        <v>380</v>
      </c>
      <c r="E75">
        <v>419410</v>
      </c>
      <c r="F75">
        <v>88076.1</v>
      </c>
      <c r="G75">
        <v>331333.90000000002</v>
      </c>
      <c r="H75">
        <v>53396.1</v>
      </c>
      <c r="I75">
        <v>277937.8</v>
      </c>
      <c r="J75">
        <v>0.1774042950513538</v>
      </c>
      <c r="K75">
        <v>154.684360411</v>
      </c>
      <c r="L75">
        <v>129.75620914999999</v>
      </c>
    </row>
    <row r="76" spans="1:12" x14ac:dyDescent="0.25">
      <c r="A76" s="1">
        <v>45962</v>
      </c>
      <c r="B76" s="2" t="s">
        <v>14</v>
      </c>
      <c r="C76">
        <v>790</v>
      </c>
      <c r="D76">
        <v>118</v>
      </c>
      <c r="E76">
        <v>163620</v>
      </c>
      <c r="F76">
        <v>34360.199999999997</v>
      </c>
      <c r="G76">
        <v>129259.8</v>
      </c>
      <c r="H76">
        <v>17893.5</v>
      </c>
      <c r="I76">
        <v>111366.3</v>
      </c>
      <c r="J76">
        <v>0.1493670886075949</v>
      </c>
      <c r="K76">
        <v>163.62</v>
      </c>
      <c r="L76">
        <v>140.97</v>
      </c>
    </row>
    <row r="77" spans="1:12" x14ac:dyDescent="0.25">
      <c r="A77" s="1">
        <v>45962</v>
      </c>
      <c r="B77" s="2" t="s">
        <v>15</v>
      </c>
      <c r="C77">
        <v>483</v>
      </c>
      <c r="D77">
        <v>25</v>
      </c>
      <c r="E77">
        <v>98630</v>
      </c>
      <c r="F77">
        <v>0</v>
      </c>
      <c r="G77">
        <v>98630</v>
      </c>
      <c r="H77">
        <v>4970</v>
      </c>
      <c r="I77">
        <v>93660</v>
      </c>
      <c r="J77">
        <v>5.1759834368530003E-2</v>
      </c>
      <c r="K77">
        <v>204.202898551</v>
      </c>
      <c r="L77">
        <v>193.91304347799999</v>
      </c>
    </row>
    <row r="78" spans="1:12" x14ac:dyDescent="0.25">
      <c r="A78" s="1">
        <v>45992</v>
      </c>
      <c r="B78" s="2" t="s">
        <v>12</v>
      </c>
      <c r="C78">
        <v>187</v>
      </c>
      <c r="D78">
        <v>18</v>
      </c>
      <c r="E78">
        <v>34780</v>
      </c>
      <c r="F78">
        <v>7303.8</v>
      </c>
      <c r="G78">
        <v>27476.2</v>
      </c>
      <c r="H78">
        <v>3049.4</v>
      </c>
      <c r="I78">
        <v>24426.799999999999</v>
      </c>
      <c r="J78">
        <v>9.6256684491978606E-2</v>
      </c>
      <c r="K78">
        <v>146.931550802</v>
      </c>
      <c r="L78">
        <v>130.62459892999999</v>
      </c>
    </row>
    <row r="79" spans="1:12" x14ac:dyDescent="0.25">
      <c r="A79" s="1">
        <v>45992</v>
      </c>
      <c r="B79" s="2" t="s">
        <v>13</v>
      </c>
      <c r="C79">
        <v>2475</v>
      </c>
      <c r="D79">
        <v>445</v>
      </c>
      <c r="E79">
        <v>501600</v>
      </c>
      <c r="F79">
        <v>105336</v>
      </c>
      <c r="G79">
        <v>396264</v>
      </c>
      <c r="H79">
        <v>71629.3</v>
      </c>
      <c r="I79">
        <v>324634.7</v>
      </c>
      <c r="J79">
        <v>0.17979797979797971</v>
      </c>
      <c r="K79">
        <v>160.10666666700001</v>
      </c>
      <c r="L79">
        <v>131.16553535400001</v>
      </c>
    </row>
    <row r="80" spans="1:12" x14ac:dyDescent="0.25">
      <c r="A80" s="1">
        <v>45992</v>
      </c>
      <c r="B80" s="2" t="s">
        <v>14</v>
      </c>
      <c r="C80">
        <v>830</v>
      </c>
      <c r="D80">
        <v>103</v>
      </c>
      <c r="E80">
        <v>162300</v>
      </c>
      <c r="F80">
        <v>34083</v>
      </c>
      <c r="G80">
        <v>128217</v>
      </c>
      <c r="H80">
        <v>16566.3</v>
      </c>
      <c r="I80">
        <v>111650.7</v>
      </c>
      <c r="J80">
        <v>0.12409638554216861</v>
      </c>
      <c r="K80">
        <v>154.47831325300001</v>
      </c>
      <c r="L80">
        <v>134.518915663</v>
      </c>
    </row>
    <row r="81" spans="1:12" x14ac:dyDescent="0.25">
      <c r="A81" s="1">
        <v>45992</v>
      </c>
      <c r="B81" s="2" t="s">
        <v>15</v>
      </c>
      <c r="C81">
        <v>629</v>
      </c>
      <c r="D81">
        <v>23</v>
      </c>
      <c r="E81">
        <v>118870</v>
      </c>
      <c r="F81">
        <v>0</v>
      </c>
      <c r="G81">
        <v>118870</v>
      </c>
      <c r="H81">
        <v>3470</v>
      </c>
      <c r="I81">
        <v>115400</v>
      </c>
      <c r="J81">
        <v>3.6565977742448297E-2</v>
      </c>
      <c r="K81">
        <v>188.98251192399999</v>
      </c>
      <c r="L81">
        <v>183.46581875999999</v>
      </c>
    </row>
    <row r="82" spans="1:12" x14ac:dyDescent="0.25">
      <c r="A82" s="1">
        <v>46023</v>
      </c>
      <c r="B82" s="2" t="s">
        <v>12</v>
      </c>
      <c r="C82">
        <v>134</v>
      </c>
      <c r="D82">
        <v>26</v>
      </c>
      <c r="E82">
        <v>28340</v>
      </c>
      <c r="F82">
        <v>5951.4</v>
      </c>
      <c r="G82">
        <v>22388.6</v>
      </c>
      <c r="H82">
        <v>5214</v>
      </c>
      <c r="I82">
        <v>17174.599999999999</v>
      </c>
      <c r="J82">
        <v>0.19402985074626861</v>
      </c>
      <c r="K82">
        <v>167.079104478</v>
      </c>
      <c r="L82">
        <v>128.16865671599999</v>
      </c>
    </row>
    <row r="83" spans="1:12" x14ac:dyDescent="0.25">
      <c r="A83" s="1">
        <v>46023</v>
      </c>
      <c r="B83" s="2" t="s">
        <v>13</v>
      </c>
      <c r="C83">
        <v>1502</v>
      </c>
      <c r="D83">
        <v>267</v>
      </c>
      <c r="E83">
        <v>300450</v>
      </c>
      <c r="F83">
        <v>63094.5</v>
      </c>
      <c r="G83">
        <v>237355.5</v>
      </c>
      <c r="H83">
        <v>41190.6</v>
      </c>
      <c r="I83">
        <v>196164.9</v>
      </c>
      <c r="J83">
        <v>0.177762982689747</v>
      </c>
      <c r="K83">
        <v>158.02629826899999</v>
      </c>
      <c r="L83">
        <v>130.602463382</v>
      </c>
    </row>
    <row r="84" spans="1:12" x14ac:dyDescent="0.25">
      <c r="A84" s="1">
        <v>46023</v>
      </c>
      <c r="B84" s="2" t="s">
        <v>14</v>
      </c>
      <c r="C84">
        <v>466</v>
      </c>
      <c r="D84">
        <v>69</v>
      </c>
      <c r="E84">
        <v>91520</v>
      </c>
      <c r="F84">
        <v>19219.2</v>
      </c>
      <c r="G84">
        <v>72300.800000000003</v>
      </c>
      <c r="H84">
        <v>11162.7</v>
      </c>
      <c r="I84">
        <v>61138.1</v>
      </c>
      <c r="J84">
        <v>0.14806866952789699</v>
      </c>
      <c r="K84">
        <v>155.15193133</v>
      </c>
      <c r="L84">
        <v>131.197639485</v>
      </c>
    </row>
    <row r="85" spans="1:12" x14ac:dyDescent="0.25">
      <c r="A85" s="1">
        <v>46023</v>
      </c>
      <c r="B85" s="2" t="s">
        <v>15</v>
      </c>
      <c r="C85">
        <v>361</v>
      </c>
      <c r="D85">
        <v>12</v>
      </c>
      <c r="E85">
        <v>70890</v>
      </c>
      <c r="F85">
        <v>0</v>
      </c>
      <c r="G85">
        <v>70890</v>
      </c>
      <c r="H85">
        <v>2360</v>
      </c>
      <c r="I85">
        <v>68530</v>
      </c>
      <c r="J85">
        <v>3.3240997229916899E-2</v>
      </c>
      <c r="K85">
        <v>196.37119113599999</v>
      </c>
      <c r="L85">
        <v>189.833795014</v>
      </c>
    </row>
    <row r="86" spans="1:12" x14ac:dyDescent="0.25">
      <c r="A86" s="1">
        <v>46054</v>
      </c>
      <c r="B86" s="2" t="s">
        <v>12</v>
      </c>
      <c r="C86">
        <v>90</v>
      </c>
      <c r="D86">
        <v>18</v>
      </c>
      <c r="E86">
        <v>17710</v>
      </c>
      <c r="F86">
        <v>3719.1</v>
      </c>
      <c r="G86">
        <v>13990.9</v>
      </c>
      <c r="H86">
        <v>2899.3</v>
      </c>
      <c r="I86">
        <v>11091.6</v>
      </c>
      <c r="J86">
        <v>0.2</v>
      </c>
      <c r="K86">
        <v>155.45444444399999</v>
      </c>
      <c r="L86">
        <v>123.24</v>
      </c>
    </row>
    <row r="87" spans="1:12" x14ac:dyDescent="0.25">
      <c r="A87" s="1">
        <v>46054</v>
      </c>
      <c r="B87" s="2" t="s">
        <v>13</v>
      </c>
      <c r="C87">
        <v>1293</v>
      </c>
      <c r="D87">
        <v>211</v>
      </c>
      <c r="E87">
        <v>245930</v>
      </c>
      <c r="F87">
        <v>51645.3</v>
      </c>
      <c r="G87">
        <v>194284.7</v>
      </c>
      <c r="H87">
        <v>31473.599999999999</v>
      </c>
      <c r="I87">
        <v>162811.1</v>
      </c>
      <c r="J87">
        <v>0.1631863882443928</v>
      </c>
      <c r="K87">
        <v>150.258855375</v>
      </c>
      <c r="L87">
        <v>125.917324053</v>
      </c>
    </row>
    <row r="88" spans="1:12" x14ac:dyDescent="0.25">
      <c r="A88" s="1">
        <v>46054</v>
      </c>
      <c r="B88" s="2" t="s">
        <v>14</v>
      </c>
      <c r="C88">
        <v>452</v>
      </c>
      <c r="D88">
        <v>65</v>
      </c>
      <c r="E88">
        <v>87890</v>
      </c>
      <c r="F88">
        <v>18456.900000000001</v>
      </c>
      <c r="G88">
        <v>69433.100000000006</v>
      </c>
      <c r="H88">
        <v>11391.8</v>
      </c>
      <c r="I88">
        <v>58041.3</v>
      </c>
      <c r="J88">
        <v>0.14380530973451319</v>
      </c>
      <c r="K88">
        <v>153.61305309700001</v>
      </c>
      <c r="L88">
        <v>128.409955752</v>
      </c>
    </row>
    <row r="89" spans="1:12" x14ac:dyDescent="0.25">
      <c r="A89" s="1">
        <v>46054</v>
      </c>
      <c r="B89" s="2" t="s">
        <v>15</v>
      </c>
      <c r="C89">
        <v>295</v>
      </c>
      <c r="D89">
        <v>11</v>
      </c>
      <c r="E89">
        <v>56530</v>
      </c>
      <c r="F89">
        <v>0</v>
      </c>
      <c r="G89">
        <v>56530</v>
      </c>
      <c r="H89">
        <v>1480</v>
      </c>
      <c r="I89">
        <v>55050</v>
      </c>
      <c r="J89">
        <v>3.7288135593220299E-2</v>
      </c>
      <c r="K89">
        <v>191.62711864400001</v>
      </c>
      <c r="L89">
        <v>186.61016949200001</v>
      </c>
    </row>
    <row r="90" spans="1:12" x14ac:dyDescent="0.25">
      <c r="A90" s="1">
        <v>46082</v>
      </c>
      <c r="B90" s="2" t="s">
        <v>12</v>
      </c>
      <c r="C90">
        <v>165</v>
      </c>
      <c r="D90">
        <v>19</v>
      </c>
      <c r="E90">
        <v>31600</v>
      </c>
      <c r="F90">
        <v>6636</v>
      </c>
      <c r="G90">
        <v>24964</v>
      </c>
      <c r="H90">
        <v>3167.9</v>
      </c>
      <c r="I90">
        <v>21796.1</v>
      </c>
      <c r="J90">
        <v>0.1151515151515151</v>
      </c>
      <c r="K90">
        <v>151.29696969700001</v>
      </c>
      <c r="L90">
        <v>132.097575758</v>
      </c>
    </row>
    <row r="91" spans="1:12" x14ac:dyDescent="0.25">
      <c r="A91" s="1">
        <v>46082</v>
      </c>
      <c r="B91" s="2" t="s">
        <v>13</v>
      </c>
      <c r="C91">
        <v>1781</v>
      </c>
      <c r="D91">
        <v>313</v>
      </c>
      <c r="E91">
        <v>365610</v>
      </c>
      <c r="F91">
        <v>76778.100000000006</v>
      </c>
      <c r="G91">
        <v>288831.90000000002</v>
      </c>
      <c r="H91">
        <v>52092.6</v>
      </c>
      <c r="I91">
        <v>236739.3</v>
      </c>
      <c r="J91">
        <v>0.1757439640651319</v>
      </c>
      <c r="K91">
        <v>162.17400336899999</v>
      </c>
      <c r="L91">
        <v>132.92492981500001</v>
      </c>
    </row>
    <row r="92" spans="1:12" x14ac:dyDescent="0.25">
      <c r="A92" s="1">
        <v>46082</v>
      </c>
      <c r="B92" s="2" t="s">
        <v>14</v>
      </c>
      <c r="C92">
        <v>522</v>
      </c>
      <c r="D92">
        <v>72</v>
      </c>
      <c r="E92">
        <v>104090</v>
      </c>
      <c r="F92">
        <v>21858.9</v>
      </c>
      <c r="G92">
        <v>82231.100000000006</v>
      </c>
      <c r="H92">
        <v>12711.1</v>
      </c>
      <c r="I92">
        <v>69520</v>
      </c>
      <c r="J92">
        <v>0.13793103448275859</v>
      </c>
      <c r="K92">
        <v>157.530842912</v>
      </c>
      <c r="L92">
        <v>133.18007662799999</v>
      </c>
    </row>
    <row r="93" spans="1:12" x14ac:dyDescent="0.25">
      <c r="A93" s="1">
        <v>46082</v>
      </c>
      <c r="B93" s="2" t="s">
        <v>15</v>
      </c>
      <c r="C93">
        <v>424</v>
      </c>
      <c r="D93">
        <v>13</v>
      </c>
      <c r="E93">
        <v>86330</v>
      </c>
      <c r="F93">
        <v>0</v>
      </c>
      <c r="G93">
        <v>86330</v>
      </c>
      <c r="H93">
        <v>2430</v>
      </c>
      <c r="I93">
        <v>83900</v>
      </c>
      <c r="J93">
        <v>3.06603773584905E-2</v>
      </c>
      <c r="K93">
        <v>203.608490566</v>
      </c>
      <c r="L93">
        <v>197.877358491</v>
      </c>
    </row>
    <row r="94" spans="1:12" x14ac:dyDescent="0.25">
      <c r="A94" s="1">
        <v>46113</v>
      </c>
      <c r="B94" s="2" t="s">
        <v>12</v>
      </c>
      <c r="C94">
        <v>163</v>
      </c>
      <c r="D94">
        <v>24</v>
      </c>
      <c r="E94">
        <v>31950</v>
      </c>
      <c r="F94">
        <v>6709.5</v>
      </c>
      <c r="G94">
        <v>25240.5</v>
      </c>
      <c r="H94">
        <v>2875.6</v>
      </c>
      <c r="I94">
        <v>22364.9</v>
      </c>
      <c r="J94">
        <v>0.14723926380368099</v>
      </c>
      <c r="K94">
        <v>154.84969325200001</v>
      </c>
      <c r="L94">
        <v>137.20797546</v>
      </c>
    </row>
    <row r="95" spans="1:12" x14ac:dyDescent="0.25">
      <c r="A95" s="1">
        <v>46113</v>
      </c>
      <c r="B95" s="2" t="s">
        <v>13</v>
      </c>
      <c r="C95">
        <v>1811</v>
      </c>
      <c r="D95">
        <v>322</v>
      </c>
      <c r="E95">
        <v>380320</v>
      </c>
      <c r="F95">
        <v>79867.199999999997</v>
      </c>
      <c r="G95">
        <v>300452.8</v>
      </c>
      <c r="H95">
        <v>53625.2</v>
      </c>
      <c r="I95">
        <v>246827.6</v>
      </c>
      <c r="J95">
        <v>0.1778023191606847</v>
      </c>
      <c r="K95">
        <v>165.90436223099999</v>
      </c>
      <c r="L95">
        <v>136.29353948100001</v>
      </c>
    </row>
    <row r="96" spans="1:12" x14ac:dyDescent="0.25">
      <c r="A96" s="1">
        <v>46113</v>
      </c>
      <c r="B96" s="2" t="s">
        <v>14</v>
      </c>
      <c r="C96">
        <v>615</v>
      </c>
      <c r="D96">
        <v>87</v>
      </c>
      <c r="E96">
        <v>126550</v>
      </c>
      <c r="F96">
        <v>26575.5</v>
      </c>
      <c r="G96">
        <v>99974.5</v>
      </c>
      <c r="H96">
        <v>13967.2</v>
      </c>
      <c r="I96">
        <v>86007.3</v>
      </c>
      <c r="J96">
        <v>0.1414634146341463</v>
      </c>
      <c r="K96">
        <v>162.56016260199999</v>
      </c>
      <c r="L96">
        <v>139.84926829299999</v>
      </c>
    </row>
    <row r="97" spans="1:12" x14ac:dyDescent="0.25">
      <c r="A97" s="1">
        <v>46113</v>
      </c>
      <c r="B97" s="2" t="s">
        <v>15</v>
      </c>
      <c r="C97">
        <v>483</v>
      </c>
      <c r="D97">
        <v>19</v>
      </c>
      <c r="E97">
        <v>98130</v>
      </c>
      <c r="F97">
        <v>0</v>
      </c>
      <c r="G97">
        <v>98130</v>
      </c>
      <c r="H97">
        <v>4440</v>
      </c>
      <c r="I97">
        <v>93690</v>
      </c>
      <c r="J97">
        <v>3.9337474120082802E-2</v>
      </c>
      <c r="K97">
        <v>203.16770186299999</v>
      </c>
      <c r="L97">
        <v>193.97515528</v>
      </c>
    </row>
    <row r="98" spans="1:12" x14ac:dyDescent="0.25">
      <c r="A98" s="1">
        <v>46143</v>
      </c>
      <c r="B98" s="2" t="s">
        <v>12</v>
      </c>
      <c r="C98">
        <v>171</v>
      </c>
      <c r="D98">
        <v>26</v>
      </c>
      <c r="E98">
        <v>35390</v>
      </c>
      <c r="F98">
        <v>7431.9</v>
      </c>
      <c r="G98">
        <v>27958.1</v>
      </c>
      <c r="H98">
        <v>4029</v>
      </c>
      <c r="I98">
        <v>23929.1</v>
      </c>
      <c r="J98">
        <v>0.1520467836257309</v>
      </c>
      <c r="K98">
        <v>163.497660819</v>
      </c>
      <c r="L98">
        <v>139.93625731</v>
      </c>
    </row>
    <row r="99" spans="1:12" x14ac:dyDescent="0.25">
      <c r="A99" s="1">
        <v>46143</v>
      </c>
      <c r="B99" s="2" t="s">
        <v>13</v>
      </c>
      <c r="C99">
        <v>1814</v>
      </c>
      <c r="D99">
        <v>329</v>
      </c>
      <c r="E99">
        <v>371010</v>
      </c>
      <c r="F99">
        <v>77912.100000000006</v>
      </c>
      <c r="G99">
        <v>293097.90000000002</v>
      </c>
      <c r="H99">
        <v>51326.3</v>
      </c>
      <c r="I99">
        <v>241771.6</v>
      </c>
      <c r="J99">
        <v>0.18136714443219401</v>
      </c>
      <c r="K99">
        <v>161.575468578</v>
      </c>
      <c r="L99">
        <v>133.28092613000001</v>
      </c>
    </row>
    <row r="100" spans="1:12" x14ac:dyDescent="0.25">
      <c r="A100" s="1">
        <v>46143</v>
      </c>
      <c r="B100" s="2" t="s">
        <v>14</v>
      </c>
      <c r="C100">
        <v>571</v>
      </c>
      <c r="D100">
        <v>78</v>
      </c>
      <c r="E100">
        <v>108910</v>
      </c>
      <c r="F100">
        <v>22871.1</v>
      </c>
      <c r="G100">
        <v>86038.9</v>
      </c>
      <c r="H100">
        <v>11589.3</v>
      </c>
      <c r="I100">
        <v>74449.600000000006</v>
      </c>
      <c r="J100">
        <v>0.13660245183887909</v>
      </c>
      <c r="K100">
        <v>150.681085814</v>
      </c>
      <c r="L100">
        <v>130.38458844100001</v>
      </c>
    </row>
    <row r="101" spans="1:12" x14ac:dyDescent="0.25">
      <c r="A101" s="1">
        <v>46143</v>
      </c>
      <c r="B101" s="2" t="s">
        <v>15</v>
      </c>
      <c r="C101">
        <v>429</v>
      </c>
      <c r="D101">
        <v>20</v>
      </c>
      <c r="E101">
        <v>89120</v>
      </c>
      <c r="F101">
        <v>0</v>
      </c>
      <c r="G101">
        <v>89120</v>
      </c>
      <c r="H101">
        <v>4180</v>
      </c>
      <c r="I101">
        <v>84940</v>
      </c>
      <c r="J101">
        <v>4.6620046620046603E-2</v>
      </c>
      <c r="K101">
        <v>207.73892773899999</v>
      </c>
      <c r="L101">
        <v>197.995337995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B1500-5BDA-4790-AC7D-F6CC39D97BA2}">
  <dimension ref="A1:M5"/>
  <sheetViews>
    <sheetView workbookViewId="0"/>
  </sheetViews>
  <sheetFormatPr baseColWidth="10" defaultRowHeight="15" x14ac:dyDescent="0.25"/>
  <cols>
    <col min="1" max="1" width="12" bestFit="1" customWidth="1"/>
    <col min="2" max="2" width="12.5703125" bestFit="1" customWidth="1"/>
    <col min="3" max="3" width="16.5703125" bestFit="1" customWidth="1"/>
    <col min="4" max="4" width="13.7109375" bestFit="1" customWidth="1"/>
    <col min="5" max="5" width="10" bestFit="1" customWidth="1"/>
    <col min="6" max="6" width="11.85546875" bestFit="1" customWidth="1"/>
    <col min="7" max="7" width="22.5703125" bestFit="1" customWidth="1"/>
    <col min="8" max="8" width="20" bestFit="1" customWidth="1"/>
    <col min="9" max="9" width="13.28515625" bestFit="1" customWidth="1"/>
    <col min="10" max="10" width="16" bestFit="1" customWidth="1"/>
    <col min="11" max="12" width="20.28515625" bestFit="1" customWidth="1"/>
    <col min="13" max="13" width="28.42578125" bestFit="1" customWidth="1"/>
  </cols>
  <sheetData>
    <row r="1" spans="1:13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16</v>
      </c>
      <c r="K1" t="s">
        <v>17</v>
      </c>
      <c r="L1" t="s">
        <v>10</v>
      </c>
      <c r="M1" t="s">
        <v>11</v>
      </c>
    </row>
    <row r="2" spans="1:13" x14ac:dyDescent="0.25">
      <c r="A2" s="2" t="s">
        <v>13</v>
      </c>
      <c r="B2">
        <v>38684</v>
      </c>
      <c r="C2">
        <v>6923</v>
      </c>
      <c r="D2">
        <v>7687810</v>
      </c>
      <c r="E2">
        <v>1614440.1</v>
      </c>
      <c r="F2">
        <v>6073369.9000000004</v>
      </c>
      <c r="G2">
        <v>1085049.2</v>
      </c>
      <c r="H2">
        <v>4988320.7</v>
      </c>
      <c r="I2">
        <v>0.178962878709544</v>
      </c>
      <c r="J2">
        <v>0.57918210199999998</v>
      </c>
      <c r="K2">
        <v>0.55575638500000002</v>
      </c>
      <c r="L2">
        <v>156.999532106</v>
      </c>
      <c r="M2">
        <v>128.95048857399999</v>
      </c>
    </row>
    <row r="3" spans="1:13" x14ac:dyDescent="0.25">
      <c r="A3" s="2" t="s">
        <v>15</v>
      </c>
      <c r="B3">
        <v>9555</v>
      </c>
      <c r="C3">
        <v>397</v>
      </c>
      <c r="D3">
        <v>1889540</v>
      </c>
      <c r="E3">
        <v>0</v>
      </c>
      <c r="F3">
        <v>1889540</v>
      </c>
      <c r="G3">
        <v>79850</v>
      </c>
      <c r="H3">
        <v>1809690</v>
      </c>
      <c r="I3">
        <v>4.1548927263212902E-2</v>
      </c>
      <c r="J3">
        <v>0.18019448299999999</v>
      </c>
      <c r="K3">
        <v>0.201620311</v>
      </c>
      <c r="L3">
        <v>197.75405546799999</v>
      </c>
      <c r="M3">
        <v>189.39717425399999</v>
      </c>
    </row>
    <row r="4" spans="1:13" x14ac:dyDescent="0.25">
      <c r="A4" s="2" t="s">
        <v>14</v>
      </c>
      <c r="B4">
        <v>12852</v>
      </c>
      <c r="C4">
        <v>1718</v>
      </c>
      <c r="D4">
        <v>2541120</v>
      </c>
      <c r="E4">
        <v>533635.19999999995</v>
      </c>
      <c r="F4">
        <v>2007484.8</v>
      </c>
      <c r="G4">
        <v>272889.7</v>
      </c>
      <c r="H4">
        <v>1734595.1</v>
      </c>
      <c r="I4">
        <v>0.1336756924992219</v>
      </c>
      <c r="J4">
        <v>0.19144219500000001</v>
      </c>
      <c r="K4">
        <v>0.19325387399999999</v>
      </c>
      <c r="L4">
        <v>156.20018674100001</v>
      </c>
      <c r="M4">
        <v>134.96693899799999</v>
      </c>
    </row>
    <row r="5" spans="1:13" x14ac:dyDescent="0.25">
      <c r="A5" s="2" t="s">
        <v>12</v>
      </c>
      <c r="B5">
        <v>3300</v>
      </c>
      <c r="C5">
        <v>476</v>
      </c>
      <c r="D5">
        <v>652810</v>
      </c>
      <c r="E5">
        <v>137090.1</v>
      </c>
      <c r="F5">
        <v>515719.9</v>
      </c>
      <c r="G5">
        <v>72593.100000000006</v>
      </c>
      <c r="H5">
        <v>443126.8</v>
      </c>
      <c r="I5">
        <v>0.1442424242424242</v>
      </c>
      <c r="J5">
        <v>4.9181218999999998E-2</v>
      </c>
      <c r="K5">
        <v>4.9369429999999999E-2</v>
      </c>
      <c r="L5">
        <v>156.278757576</v>
      </c>
      <c r="M5">
        <v>134.28084848500001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F9D68-9A53-41DD-8402-6ED78966D108}">
  <dimension ref="A3:F66"/>
  <sheetViews>
    <sheetView workbookViewId="0">
      <selection activeCell="B8" sqref="B8"/>
    </sheetView>
  </sheetViews>
  <sheetFormatPr baseColWidth="10" defaultRowHeight="15" x14ac:dyDescent="0.25"/>
  <cols>
    <col min="1" max="1" width="17.85546875" bestFit="1" customWidth="1"/>
    <col min="2" max="2" width="26" bestFit="1" customWidth="1"/>
    <col min="3" max="3" width="28.7109375" bestFit="1" customWidth="1"/>
    <col min="4" max="4" width="14" bestFit="1" customWidth="1"/>
    <col min="5" max="5" width="12" bestFit="1" customWidth="1"/>
    <col min="6" max="7" width="12.5703125" bestFit="1" customWidth="1"/>
  </cols>
  <sheetData>
    <row r="3" spans="1:6" x14ac:dyDescent="0.25">
      <c r="A3" s="5" t="s">
        <v>23</v>
      </c>
      <c r="B3" s="5" t="s">
        <v>24</v>
      </c>
    </row>
    <row r="4" spans="1:6" x14ac:dyDescent="0.25">
      <c r="A4" s="5" t="s">
        <v>21</v>
      </c>
      <c r="B4" t="s">
        <v>12</v>
      </c>
      <c r="C4" t="s">
        <v>13</v>
      </c>
      <c r="D4" t="s">
        <v>14</v>
      </c>
      <c r="E4" t="s">
        <v>15</v>
      </c>
      <c r="F4" t="s">
        <v>22</v>
      </c>
    </row>
    <row r="5" spans="1:6" x14ac:dyDescent="0.25">
      <c r="A5" s="6">
        <v>45413</v>
      </c>
      <c r="B5" s="2">
        <v>0</v>
      </c>
      <c r="C5" s="2">
        <v>16700.599999999999</v>
      </c>
      <c r="D5" s="2">
        <v>5988.2</v>
      </c>
      <c r="E5" s="2">
        <v>9350</v>
      </c>
      <c r="F5" s="2">
        <v>32038.799999999999</v>
      </c>
    </row>
    <row r="6" spans="1:6" x14ac:dyDescent="0.25">
      <c r="A6" s="6">
        <v>45444</v>
      </c>
      <c r="B6" s="2">
        <v>13382.6</v>
      </c>
      <c r="C6" s="2">
        <v>173555.1</v>
      </c>
      <c r="D6" s="2">
        <v>68382.399999999994</v>
      </c>
      <c r="E6" s="2">
        <v>67370</v>
      </c>
      <c r="F6" s="2">
        <v>322690.09999999998</v>
      </c>
    </row>
    <row r="7" spans="1:6" x14ac:dyDescent="0.25">
      <c r="A7" s="6">
        <v>45474</v>
      </c>
      <c r="B7" s="2">
        <v>16890.2</v>
      </c>
      <c r="C7" s="2">
        <v>184228</v>
      </c>
      <c r="D7" s="2">
        <v>53996.5</v>
      </c>
      <c r="E7" s="2">
        <v>60660</v>
      </c>
      <c r="F7" s="2">
        <v>315774.7</v>
      </c>
    </row>
    <row r="8" spans="1:6" x14ac:dyDescent="0.25">
      <c r="A8" s="6">
        <v>45505</v>
      </c>
      <c r="B8" s="2">
        <v>16108.1</v>
      </c>
      <c r="C8" s="2">
        <v>172931</v>
      </c>
      <c r="D8" s="2">
        <v>52858.9</v>
      </c>
      <c r="E8" s="2">
        <v>65480</v>
      </c>
      <c r="F8" s="2">
        <v>307378</v>
      </c>
    </row>
    <row r="9" spans="1:6" x14ac:dyDescent="0.25">
      <c r="A9" s="6">
        <v>45536</v>
      </c>
      <c r="B9" s="2">
        <v>11652.5</v>
      </c>
      <c r="C9" s="2">
        <v>167922.4</v>
      </c>
      <c r="D9" s="2">
        <v>61746.400000000001</v>
      </c>
      <c r="E9" s="2">
        <v>63040</v>
      </c>
      <c r="F9" s="2">
        <v>304361.3</v>
      </c>
    </row>
    <row r="10" spans="1:6" x14ac:dyDescent="0.25">
      <c r="A10" s="6">
        <v>45566</v>
      </c>
      <c r="B10" s="2">
        <v>14875.7</v>
      </c>
      <c r="C10" s="2">
        <v>182347.8</v>
      </c>
      <c r="D10" s="2">
        <v>66660.2</v>
      </c>
      <c r="E10" s="2">
        <v>79560</v>
      </c>
      <c r="F10" s="2">
        <v>343443.7</v>
      </c>
    </row>
    <row r="11" spans="1:6" x14ac:dyDescent="0.25">
      <c r="A11" s="6">
        <v>45597</v>
      </c>
      <c r="B11" s="2">
        <v>26101.599999999999</v>
      </c>
      <c r="C11" s="2">
        <v>241044.8</v>
      </c>
      <c r="D11" s="2">
        <v>81622.8</v>
      </c>
      <c r="E11" s="2">
        <v>85080</v>
      </c>
      <c r="F11" s="2">
        <v>433849.19999999995</v>
      </c>
    </row>
    <row r="12" spans="1:6" x14ac:dyDescent="0.25">
      <c r="A12" s="6">
        <v>45627</v>
      </c>
      <c r="B12" s="2">
        <v>23589.4</v>
      </c>
      <c r="C12" s="2">
        <v>255391.2</v>
      </c>
      <c r="D12" s="2">
        <v>103213.5</v>
      </c>
      <c r="E12" s="2">
        <v>94050</v>
      </c>
      <c r="F12" s="2">
        <v>476244.10000000003</v>
      </c>
    </row>
    <row r="13" spans="1:6" x14ac:dyDescent="0.25">
      <c r="A13" s="6">
        <v>45658</v>
      </c>
      <c r="B13" s="2">
        <v>12561</v>
      </c>
      <c r="C13" s="2">
        <v>150700.4</v>
      </c>
      <c r="D13" s="2">
        <v>57196</v>
      </c>
      <c r="E13" s="2">
        <v>57330</v>
      </c>
      <c r="F13" s="2">
        <v>277787.40000000002</v>
      </c>
    </row>
    <row r="14" spans="1:6" x14ac:dyDescent="0.25">
      <c r="A14" s="6">
        <v>45689</v>
      </c>
      <c r="B14" s="2">
        <v>13437.9</v>
      </c>
      <c r="C14" s="2">
        <v>138645</v>
      </c>
      <c r="D14" s="2">
        <v>47076.1</v>
      </c>
      <c r="E14" s="2">
        <v>47200</v>
      </c>
      <c r="F14" s="2">
        <v>246359</v>
      </c>
    </row>
    <row r="15" spans="1:6" x14ac:dyDescent="0.25">
      <c r="A15" s="6">
        <v>45717</v>
      </c>
      <c r="B15" s="2">
        <v>13848.7</v>
      </c>
      <c r="C15" s="2">
        <v>178121.3</v>
      </c>
      <c r="D15" s="2">
        <v>67055.199999999997</v>
      </c>
      <c r="E15" s="2">
        <v>67090</v>
      </c>
      <c r="F15" s="2">
        <v>326115.20000000001</v>
      </c>
    </row>
    <row r="16" spans="1:6" x14ac:dyDescent="0.25">
      <c r="A16" s="6">
        <v>45748</v>
      </c>
      <c r="B16" s="2">
        <v>17214.099999999999</v>
      </c>
      <c r="C16" s="2">
        <v>187285.3</v>
      </c>
      <c r="D16" s="2">
        <v>62259.9</v>
      </c>
      <c r="E16" s="2">
        <v>66630</v>
      </c>
      <c r="F16" s="2">
        <v>333389.3</v>
      </c>
    </row>
    <row r="17" spans="1:6" x14ac:dyDescent="0.25">
      <c r="A17" s="6">
        <v>45778</v>
      </c>
      <c r="B17" s="2">
        <v>21164.1</v>
      </c>
      <c r="C17" s="2">
        <v>206371.7</v>
      </c>
      <c r="D17" s="2">
        <v>65435.7</v>
      </c>
      <c r="E17" s="2">
        <v>68950</v>
      </c>
      <c r="F17" s="2">
        <v>361921.5</v>
      </c>
    </row>
    <row r="18" spans="1:6" x14ac:dyDescent="0.25">
      <c r="A18" s="6">
        <v>45809</v>
      </c>
      <c r="B18" s="2">
        <v>20192.400000000001</v>
      </c>
      <c r="C18" s="2">
        <v>215393.5</v>
      </c>
      <c r="D18" s="2">
        <v>88021.8</v>
      </c>
      <c r="E18" s="2">
        <v>85620</v>
      </c>
      <c r="F18" s="2">
        <v>409227.7</v>
      </c>
    </row>
    <row r="19" spans="1:6" x14ac:dyDescent="0.25">
      <c r="A19" s="6">
        <v>45839</v>
      </c>
      <c r="B19" s="2">
        <v>19046.900000000001</v>
      </c>
      <c r="C19" s="2">
        <v>207485.6</v>
      </c>
      <c r="D19" s="2">
        <v>62323.1</v>
      </c>
      <c r="E19" s="2">
        <v>82940</v>
      </c>
      <c r="F19" s="2">
        <v>371795.6</v>
      </c>
    </row>
    <row r="20" spans="1:6" x14ac:dyDescent="0.25">
      <c r="A20" s="6">
        <v>45870</v>
      </c>
      <c r="B20" s="2">
        <v>15065.3</v>
      </c>
      <c r="C20" s="2">
        <v>191606.6</v>
      </c>
      <c r="D20" s="2">
        <v>75895.3</v>
      </c>
      <c r="E20" s="2">
        <v>69330</v>
      </c>
      <c r="F20" s="2">
        <v>351897.2</v>
      </c>
    </row>
    <row r="21" spans="1:6" x14ac:dyDescent="0.25">
      <c r="A21" s="6">
        <v>45901</v>
      </c>
      <c r="B21" s="2">
        <v>21298.400000000001</v>
      </c>
      <c r="C21" s="2">
        <v>210732.5</v>
      </c>
      <c r="D21" s="2">
        <v>68240.2</v>
      </c>
      <c r="E21" s="2">
        <v>69850</v>
      </c>
      <c r="F21" s="2">
        <v>370121.1</v>
      </c>
    </row>
    <row r="22" spans="1:6" x14ac:dyDescent="0.25">
      <c r="A22" s="6">
        <v>45931</v>
      </c>
      <c r="B22" s="2">
        <v>18936.3</v>
      </c>
      <c r="C22" s="2">
        <v>220970.9</v>
      </c>
      <c r="D22" s="2">
        <v>74449.600000000006</v>
      </c>
      <c r="E22" s="2">
        <v>74990</v>
      </c>
      <c r="F22" s="2">
        <v>389346.8</v>
      </c>
    </row>
    <row r="23" spans="1:6" x14ac:dyDescent="0.25">
      <c r="A23" s="6">
        <v>45962</v>
      </c>
      <c r="B23" s="2">
        <v>26978.5</v>
      </c>
      <c r="C23" s="2">
        <v>277937.8</v>
      </c>
      <c r="D23" s="2">
        <v>111366.3</v>
      </c>
      <c r="E23" s="2">
        <v>93660</v>
      </c>
      <c r="F23" s="2">
        <v>509942.6</v>
      </c>
    </row>
    <row r="24" spans="1:6" x14ac:dyDescent="0.25">
      <c r="A24" s="6">
        <v>45992</v>
      </c>
      <c r="B24" s="2">
        <v>24426.799999999999</v>
      </c>
      <c r="C24" s="2">
        <v>324634.7</v>
      </c>
      <c r="D24" s="2">
        <v>111650.7</v>
      </c>
      <c r="E24" s="2">
        <v>115400</v>
      </c>
      <c r="F24" s="2">
        <v>576112.19999999995</v>
      </c>
    </row>
    <row r="25" spans="1:6" x14ac:dyDescent="0.25">
      <c r="A25" s="6">
        <v>46023</v>
      </c>
      <c r="B25" s="2">
        <v>17174.599999999999</v>
      </c>
      <c r="C25" s="2">
        <v>196164.9</v>
      </c>
      <c r="D25" s="2">
        <v>61138.1</v>
      </c>
      <c r="E25" s="2">
        <v>68530</v>
      </c>
      <c r="F25" s="2">
        <v>343007.6</v>
      </c>
    </row>
    <row r="26" spans="1:6" x14ac:dyDescent="0.25">
      <c r="A26" s="6">
        <v>46054</v>
      </c>
      <c r="B26" s="2">
        <v>11091.6</v>
      </c>
      <c r="C26" s="2">
        <v>162811.1</v>
      </c>
      <c r="D26" s="2">
        <v>58041.3</v>
      </c>
      <c r="E26" s="2">
        <v>55050</v>
      </c>
      <c r="F26" s="2">
        <v>286994</v>
      </c>
    </row>
    <row r="27" spans="1:6" x14ac:dyDescent="0.25">
      <c r="A27" s="6">
        <v>46082</v>
      </c>
      <c r="B27" s="2">
        <v>21796.1</v>
      </c>
      <c r="C27" s="2">
        <v>236739.3</v>
      </c>
      <c r="D27" s="2">
        <v>69520</v>
      </c>
      <c r="E27" s="2">
        <v>83900</v>
      </c>
      <c r="F27" s="2">
        <v>411955.4</v>
      </c>
    </row>
    <row r="28" spans="1:6" x14ac:dyDescent="0.25">
      <c r="A28" s="6">
        <v>46113</v>
      </c>
      <c r="B28" s="2">
        <v>22364.9</v>
      </c>
      <c r="C28" s="2">
        <v>246827.6</v>
      </c>
      <c r="D28" s="2">
        <v>86007.3</v>
      </c>
      <c r="E28" s="2">
        <v>93690</v>
      </c>
      <c r="F28" s="2">
        <v>448889.8</v>
      </c>
    </row>
    <row r="29" spans="1:6" x14ac:dyDescent="0.25">
      <c r="A29" s="6">
        <v>46143</v>
      </c>
      <c r="B29" s="2">
        <v>23929.1</v>
      </c>
      <c r="C29" s="2">
        <v>241771.6</v>
      </c>
      <c r="D29" s="2">
        <v>74449.600000000006</v>
      </c>
      <c r="E29" s="2">
        <v>84940</v>
      </c>
      <c r="F29" s="2">
        <v>425090.30000000005</v>
      </c>
    </row>
    <row r="30" spans="1:6" x14ac:dyDescent="0.25">
      <c r="A30" s="6" t="s">
        <v>22</v>
      </c>
      <c r="B30" s="2">
        <v>443126.79999999993</v>
      </c>
      <c r="C30" s="2">
        <v>4988320.6999999993</v>
      </c>
      <c r="D30" s="2">
        <v>1734595.1000000003</v>
      </c>
      <c r="E30" s="2">
        <v>1809690</v>
      </c>
      <c r="F30" s="2">
        <v>8975732.5999999996</v>
      </c>
    </row>
    <row r="32" spans="1:6" x14ac:dyDescent="0.25">
      <c r="A32" s="5" t="s">
        <v>25</v>
      </c>
      <c r="B32" s="5" t="s">
        <v>24</v>
      </c>
    </row>
    <row r="33" spans="1:6" x14ac:dyDescent="0.25">
      <c r="A33" s="5" t="s">
        <v>21</v>
      </c>
      <c r="B33" t="s">
        <v>12</v>
      </c>
      <c r="C33" t="s">
        <v>13</v>
      </c>
      <c r="D33" t="s">
        <v>14</v>
      </c>
      <c r="E33" t="s">
        <v>15</v>
      </c>
      <c r="F33" t="s">
        <v>22</v>
      </c>
    </row>
    <row r="34" spans="1:6" x14ac:dyDescent="0.25">
      <c r="A34" s="6">
        <v>45413</v>
      </c>
      <c r="B34" s="2">
        <v>1</v>
      </c>
      <c r="C34" s="2">
        <v>0.17985611510791361</v>
      </c>
      <c r="D34" s="2">
        <v>0.1951219512195122</v>
      </c>
      <c r="E34" s="2">
        <v>2.27272727272727E-2</v>
      </c>
      <c r="F34" s="2">
        <v>1.3977053390546985</v>
      </c>
    </row>
    <row r="35" spans="1:6" x14ac:dyDescent="0.25">
      <c r="A35" s="6">
        <v>45444</v>
      </c>
      <c r="B35" s="2">
        <v>9.18367346938775E-2</v>
      </c>
      <c r="C35" s="2">
        <v>0.18290960451977401</v>
      </c>
      <c r="D35" s="2">
        <v>0.1285140562248995</v>
      </c>
      <c r="E35" s="2">
        <v>2.2922636103151799E-2</v>
      </c>
      <c r="F35" s="2">
        <v>0.42618303154170278</v>
      </c>
    </row>
    <row r="36" spans="1:6" x14ac:dyDescent="0.25">
      <c r="A36" s="6">
        <v>45474</v>
      </c>
      <c r="B36" s="2">
        <v>0.146788990825688</v>
      </c>
      <c r="C36" s="2">
        <v>0.1714490674318507</v>
      </c>
      <c r="D36" s="2">
        <v>0.15345268542199481</v>
      </c>
      <c r="E36" s="2">
        <v>3.7735849056603703E-2</v>
      </c>
      <c r="F36" s="2">
        <v>0.50942659273613722</v>
      </c>
    </row>
    <row r="37" spans="1:6" x14ac:dyDescent="0.25">
      <c r="A37" s="6">
        <v>45505</v>
      </c>
      <c r="B37" s="2">
        <v>0.13559322033898299</v>
      </c>
      <c r="C37" s="2">
        <v>0.18754633061527051</v>
      </c>
      <c r="D37" s="2">
        <v>0.1381074168797953</v>
      </c>
      <c r="E37" s="2">
        <v>5.0847457627118599E-2</v>
      </c>
      <c r="F37" s="2">
        <v>0.51209442546116746</v>
      </c>
    </row>
    <row r="38" spans="1:6" x14ac:dyDescent="0.25">
      <c r="A38" s="6">
        <v>45536</v>
      </c>
      <c r="B38" s="2">
        <v>0.1388888888888889</v>
      </c>
      <c r="C38" s="2">
        <v>0.18106060606060601</v>
      </c>
      <c r="D38" s="2">
        <v>0.1396396396396396</v>
      </c>
      <c r="E38" s="2">
        <v>2.07100591715976E-2</v>
      </c>
      <c r="F38" s="2">
        <v>0.48029919376073205</v>
      </c>
    </row>
    <row r="39" spans="1:6" x14ac:dyDescent="0.25">
      <c r="A39" s="6">
        <v>45566</v>
      </c>
      <c r="B39" s="2">
        <v>0.15748031496062989</v>
      </c>
      <c r="C39" s="2">
        <v>0.1960916442048517</v>
      </c>
      <c r="D39" s="2">
        <v>0.1452830188679245</v>
      </c>
      <c r="E39" s="2">
        <v>3.8461538461538401E-2</v>
      </c>
      <c r="F39" s="2">
        <v>0.5373165164949445</v>
      </c>
    </row>
    <row r="40" spans="1:6" x14ac:dyDescent="0.25">
      <c r="A40" s="6">
        <v>45597</v>
      </c>
      <c r="B40" s="2">
        <v>0.175438596491228</v>
      </c>
      <c r="C40" s="2">
        <v>0.16116611661166111</v>
      </c>
      <c r="D40" s="2">
        <v>0.1306451612903225</v>
      </c>
      <c r="E40" s="2">
        <v>4.1002277904327998E-2</v>
      </c>
      <c r="F40" s="2">
        <v>0.50825215229753962</v>
      </c>
    </row>
    <row r="41" spans="1:6" x14ac:dyDescent="0.25">
      <c r="A41" s="6">
        <v>45627</v>
      </c>
      <c r="B41" s="2">
        <v>0.1823204419889502</v>
      </c>
      <c r="C41" s="2">
        <v>0.17125688532799199</v>
      </c>
      <c r="D41" s="2">
        <v>8.8195386702849293E-2</v>
      </c>
      <c r="E41" s="2">
        <v>4.6421663442939999E-2</v>
      </c>
      <c r="F41" s="2">
        <v>0.48819437746273148</v>
      </c>
    </row>
    <row r="42" spans="1:6" x14ac:dyDescent="0.25">
      <c r="A42" s="6">
        <v>45658</v>
      </c>
      <c r="B42" s="2">
        <v>0.1041666666666666</v>
      </c>
      <c r="C42" s="2">
        <v>0.18405428329092449</v>
      </c>
      <c r="D42" s="2">
        <v>0.1147540983606557</v>
      </c>
      <c r="E42" s="2">
        <v>6.6878980891719703E-2</v>
      </c>
      <c r="F42" s="2">
        <v>0.46985402920996644</v>
      </c>
    </row>
    <row r="43" spans="1:6" x14ac:dyDescent="0.25">
      <c r="A43" s="6">
        <v>45689</v>
      </c>
      <c r="B43" s="2">
        <v>0.15306122448979589</v>
      </c>
      <c r="C43" s="2">
        <v>0.18762088974854929</v>
      </c>
      <c r="D43" s="2">
        <v>8.4592145015105702E-2</v>
      </c>
      <c r="E43" s="2">
        <v>5.859375E-2</v>
      </c>
      <c r="F43" s="2">
        <v>0.48386800925345086</v>
      </c>
    </row>
    <row r="44" spans="1:6" x14ac:dyDescent="0.25">
      <c r="A44" s="6">
        <v>45717</v>
      </c>
      <c r="B44" s="2">
        <v>0.10679611650485429</v>
      </c>
      <c r="C44" s="2">
        <v>0.17847025495750701</v>
      </c>
      <c r="D44" s="2">
        <v>0.125</v>
      </c>
      <c r="E44" s="2">
        <v>4.94505494505494E-2</v>
      </c>
      <c r="F44" s="2">
        <v>0.45971692091291072</v>
      </c>
    </row>
    <row r="45" spans="1:6" x14ac:dyDescent="0.25">
      <c r="A45" s="6">
        <v>45748</v>
      </c>
      <c r="B45" s="2">
        <v>0.12837837837837829</v>
      </c>
      <c r="C45" s="2">
        <v>0.1906666666666666</v>
      </c>
      <c r="D45" s="2">
        <v>0.1570247933884297</v>
      </c>
      <c r="E45" s="2">
        <v>4.54545454545454E-2</v>
      </c>
      <c r="F45" s="2">
        <v>0.52152438388802003</v>
      </c>
    </row>
    <row r="46" spans="1:6" x14ac:dyDescent="0.25">
      <c r="A46" s="6">
        <v>45778</v>
      </c>
      <c r="B46" s="2">
        <v>0.16149068322981361</v>
      </c>
      <c r="C46" s="2">
        <v>0.166358595194085</v>
      </c>
      <c r="D46" s="2">
        <v>0.13424124513618671</v>
      </c>
      <c r="E46" s="2">
        <v>4.7368421052631497E-2</v>
      </c>
      <c r="F46" s="2">
        <v>0.50945894461271679</v>
      </c>
    </row>
    <row r="47" spans="1:6" x14ac:dyDescent="0.25">
      <c r="A47" s="6">
        <v>45809</v>
      </c>
      <c r="B47" s="2">
        <v>0.15231788079470199</v>
      </c>
      <c r="C47" s="2">
        <v>0.1802869619463506</v>
      </c>
      <c r="D47" s="2">
        <v>0.1303630363036303</v>
      </c>
      <c r="E47" s="2">
        <v>3.8202247191011202E-2</v>
      </c>
      <c r="F47" s="2">
        <v>0.50117012623569412</v>
      </c>
    </row>
    <row r="48" spans="1:6" x14ac:dyDescent="0.25">
      <c r="A48" s="6">
        <v>45839</v>
      </c>
      <c r="B48" s="2">
        <v>0.1310344827586207</v>
      </c>
      <c r="C48" s="2">
        <v>0.1904474002418379</v>
      </c>
      <c r="D48" s="2">
        <v>0.18106995884773661</v>
      </c>
      <c r="E48" s="2">
        <v>4.1189931350114402E-2</v>
      </c>
      <c r="F48" s="2">
        <v>0.54374177319830963</v>
      </c>
    </row>
    <row r="49" spans="1:6" x14ac:dyDescent="0.25">
      <c r="A49" s="6">
        <v>45870</v>
      </c>
      <c r="B49" s="2">
        <v>0.109090909090909</v>
      </c>
      <c r="C49" s="2">
        <v>0.1762028608582574</v>
      </c>
      <c r="D49" s="2">
        <v>9.7785977859778495E-2</v>
      </c>
      <c r="E49" s="2">
        <v>1.9073569482288801E-2</v>
      </c>
      <c r="F49" s="2">
        <v>0.40215331729123366</v>
      </c>
    </row>
    <row r="50" spans="1:6" x14ac:dyDescent="0.25">
      <c r="A50" s="6">
        <v>45901</v>
      </c>
      <c r="B50" s="2">
        <v>0.1418439716312056</v>
      </c>
      <c r="C50" s="2">
        <v>0.17973462002412541</v>
      </c>
      <c r="D50" s="2">
        <v>0.13487475915221581</v>
      </c>
      <c r="E50" s="2">
        <v>5.3908355795148202E-2</v>
      </c>
      <c r="F50" s="2">
        <v>0.51036170660269498</v>
      </c>
    </row>
    <row r="51" spans="1:6" x14ac:dyDescent="0.25">
      <c r="A51" s="6">
        <v>45931</v>
      </c>
      <c r="B51" s="2">
        <v>0.16279069767441859</v>
      </c>
      <c r="C51" s="2">
        <v>0.18478260869565211</v>
      </c>
      <c r="D51" s="2">
        <v>0.14721723518850979</v>
      </c>
      <c r="E51" s="2">
        <v>5.0761421319796898E-2</v>
      </c>
      <c r="F51" s="2">
        <v>0.54555196287837737</v>
      </c>
    </row>
    <row r="52" spans="1:6" x14ac:dyDescent="0.25">
      <c r="A52" s="6">
        <v>45962</v>
      </c>
      <c r="B52" s="2">
        <v>0.13989637305699479</v>
      </c>
      <c r="C52" s="2">
        <v>0.1774042950513538</v>
      </c>
      <c r="D52" s="2">
        <v>0.1493670886075949</v>
      </c>
      <c r="E52" s="2">
        <v>5.1759834368530003E-2</v>
      </c>
      <c r="F52" s="2">
        <v>0.51842759108447345</v>
      </c>
    </row>
    <row r="53" spans="1:6" x14ac:dyDescent="0.25">
      <c r="A53" s="6">
        <v>45992</v>
      </c>
      <c r="B53" s="2">
        <v>9.6256684491978606E-2</v>
      </c>
      <c r="C53" s="2">
        <v>0.17979797979797971</v>
      </c>
      <c r="D53" s="2">
        <v>0.12409638554216861</v>
      </c>
      <c r="E53" s="2">
        <v>3.6565977742448297E-2</v>
      </c>
      <c r="F53" s="2">
        <v>0.4367170275745752</v>
      </c>
    </row>
    <row r="54" spans="1:6" x14ac:dyDescent="0.25">
      <c r="A54" s="6">
        <v>46023</v>
      </c>
      <c r="B54" s="2">
        <v>0.19402985074626861</v>
      </c>
      <c r="C54" s="2">
        <v>0.177762982689747</v>
      </c>
      <c r="D54" s="2">
        <v>0.14806866952789699</v>
      </c>
      <c r="E54" s="2">
        <v>3.3240997229916899E-2</v>
      </c>
      <c r="F54" s="2">
        <v>0.55310250019382956</v>
      </c>
    </row>
    <row r="55" spans="1:6" x14ac:dyDescent="0.25">
      <c r="A55" s="6">
        <v>46054</v>
      </c>
      <c r="B55" s="2">
        <v>0.2</v>
      </c>
      <c r="C55" s="2">
        <v>0.1631863882443928</v>
      </c>
      <c r="D55" s="2">
        <v>0.14380530973451319</v>
      </c>
      <c r="E55" s="2">
        <v>3.7288135593220299E-2</v>
      </c>
      <c r="F55" s="2">
        <v>0.54427983357212628</v>
      </c>
    </row>
    <row r="56" spans="1:6" x14ac:dyDescent="0.25">
      <c r="A56" s="6">
        <v>46082</v>
      </c>
      <c r="B56" s="2">
        <v>0.1151515151515151</v>
      </c>
      <c r="C56" s="2">
        <v>0.1757439640651319</v>
      </c>
      <c r="D56" s="2">
        <v>0.13793103448275859</v>
      </c>
      <c r="E56" s="2">
        <v>3.06603773584905E-2</v>
      </c>
      <c r="F56" s="2">
        <v>0.45948689105789609</v>
      </c>
    </row>
    <row r="57" spans="1:6" x14ac:dyDescent="0.25">
      <c r="A57" s="6">
        <v>46113</v>
      </c>
      <c r="B57" s="2">
        <v>0.14723926380368099</v>
      </c>
      <c r="C57" s="2">
        <v>0.1778023191606847</v>
      </c>
      <c r="D57" s="2">
        <v>0.1414634146341463</v>
      </c>
      <c r="E57" s="2">
        <v>3.9337474120082802E-2</v>
      </c>
      <c r="F57" s="2">
        <v>0.50584247171859476</v>
      </c>
    </row>
    <row r="58" spans="1:6" x14ac:dyDescent="0.25">
      <c r="A58" s="6">
        <v>46143</v>
      </c>
      <c r="B58" s="2">
        <v>0.1520467836257309</v>
      </c>
      <c r="C58" s="2">
        <v>0.18136714443219401</v>
      </c>
      <c r="D58" s="2">
        <v>0.13660245183887909</v>
      </c>
      <c r="E58" s="2">
        <v>4.6620046620046603E-2</v>
      </c>
      <c r="F58" s="2">
        <v>0.5166364265168506</v>
      </c>
    </row>
    <row r="59" spans="1:6" x14ac:dyDescent="0.25">
      <c r="A59" s="7" t="s">
        <v>22</v>
      </c>
      <c r="B59" s="2">
        <v>4.4239386702837784</v>
      </c>
      <c r="C59" s="2">
        <v>4.4830265849453577</v>
      </c>
      <c r="D59" s="2">
        <v>3.4072169198671438</v>
      </c>
      <c r="E59" s="2">
        <v>1.0271833695150918</v>
      </c>
      <c r="F59" s="2">
        <v>13.341365544611373</v>
      </c>
    </row>
    <row r="61" spans="1:6" x14ac:dyDescent="0.25">
      <c r="A61" s="5" t="s">
        <v>21</v>
      </c>
      <c r="B61" t="s">
        <v>23</v>
      </c>
      <c r="C61" t="s">
        <v>29</v>
      </c>
      <c r="D61" t="s">
        <v>30</v>
      </c>
    </row>
    <row r="62" spans="1:6" x14ac:dyDescent="0.25">
      <c r="A62" s="7" t="s">
        <v>12</v>
      </c>
      <c r="B62" s="2">
        <v>443126.8</v>
      </c>
      <c r="C62" s="2">
        <v>72593.100000000006</v>
      </c>
      <c r="D62" s="2">
        <v>137090.1</v>
      </c>
    </row>
    <row r="63" spans="1:6" x14ac:dyDescent="0.25">
      <c r="A63" s="7" t="s">
        <v>13</v>
      </c>
      <c r="B63" s="2">
        <v>4988320.7</v>
      </c>
      <c r="C63" s="2">
        <v>1085049.2</v>
      </c>
      <c r="D63" s="2">
        <v>1614440.1</v>
      </c>
    </row>
    <row r="64" spans="1:6" x14ac:dyDescent="0.25">
      <c r="A64" s="7" t="s">
        <v>14</v>
      </c>
      <c r="B64" s="2">
        <v>1734595.1</v>
      </c>
      <c r="C64" s="2">
        <v>272889.7</v>
      </c>
      <c r="D64" s="2">
        <v>533635.19999999995</v>
      </c>
    </row>
    <row r="65" spans="1:4" x14ac:dyDescent="0.25">
      <c r="A65" s="7" t="s">
        <v>15</v>
      </c>
      <c r="B65" s="2">
        <v>1809690</v>
      </c>
      <c r="C65" s="2">
        <v>79850</v>
      </c>
      <c r="D65" s="2">
        <v>0</v>
      </c>
    </row>
    <row r="66" spans="1:4" x14ac:dyDescent="0.25">
      <c r="A66" s="7" t="s">
        <v>22</v>
      </c>
      <c r="B66" s="2">
        <v>8975732.5999999996</v>
      </c>
      <c r="C66" s="2">
        <v>1510382</v>
      </c>
      <c r="D66" s="2">
        <v>2285165.4000000004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CFD12-925A-43B0-9637-819DB8C3DACD}">
  <dimension ref="A1:H101"/>
  <sheetViews>
    <sheetView workbookViewId="0">
      <selection sqref="A1:H1048576"/>
    </sheetView>
  </sheetViews>
  <sheetFormatPr baseColWidth="10" defaultRowHeight="15" x14ac:dyDescent="0.25"/>
  <cols>
    <col min="1" max="1" width="13.85546875" bestFit="1" customWidth="1"/>
    <col min="2" max="2" width="12" bestFit="1" customWidth="1"/>
    <col min="3" max="3" width="12.5703125" bestFit="1" customWidth="1"/>
    <col min="4" max="4" width="16.5703125" bestFit="1" customWidth="1"/>
    <col min="5" max="5" width="19.140625" bestFit="1" customWidth="1"/>
    <col min="6" max="6" width="22.5703125" bestFit="1" customWidth="1"/>
    <col min="7" max="7" width="20" bestFit="1" customWidth="1"/>
    <col min="8" max="8" width="13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31</v>
      </c>
      <c r="F1" t="s">
        <v>7</v>
      </c>
      <c r="G1" t="s">
        <v>8</v>
      </c>
      <c r="H1" t="s">
        <v>9</v>
      </c>
    </row>
    <row r="2" spans="1:8" x14ac:dyDescent="0.25">
      <c r="A2" s="1">
        <v>45413</v>
      </c>
      <c r="B2" s="2" t="s">
        <v>12</v>
      </c>
      <c r="C2">
        <v>3</v>
      </c>
      <c r="D2">
        <v>3</v>
      </c>
      <c r="E2">
        <v>387.1</v>
      </c>
      <c r="F2">
        <v>387.1</v>
      </c>
      <c r="G2">
        <v>0</v>
      </c>
      <c r="H2">
        <v>1</v>
      </c>
    </row>
    <row r="3" spans="1:8" x14ac:dyDescent="0.25">
      <c r="A3" s="1">
        <v>45413</v>
      </c>
      <c r="B3" s="2" t="s">
        <v>13</v>
      </c>
      <c r="C3">
        <v>139</v>
      </c>
      <c r="D3">
        <v>25</v>
      </c>
      <c r="E3">
        <v>20769.099999999999</v>
      </c>
      <c r="F3">
        <v>4068.5</v>
      </c>
      <c r="G3">
        <v>16700.599999999999</v>
      </c>
      <c r="H3">
        <v>0.17985611510791361</v>
      </c>
    </row>
    <row r="4" spans="1:8" x14ac:dyDescent="0.25">
      <c r="A4" s="1">
        <v>45413</v>
      </c>
      <c r="B4" s="2" t="s">
        <v>14</v>
      </c>
      <c r="C4">
        <v>41</v>
      </c>
      <c r="D4">
        <v>8</v>
      </c>
      <c r="E4">
        <v>7505</v>
      </c>
      <c r="F4">
        <v>1516.8</v>
      </c>
      <c r="G4">
        <v>5988.2</v>
      </c>
      <c r="H4">
        <v>0.1951219512195122</v>
      </c>
    </row>
    <row r="5" spans="1:8" x14ac:dyDescent="0.25">
      <c r="A5" s="1">
        <v>45413</v>
      </c>
      <c r="B5" s="2" t="s">
        <v>15</v>
      </c>
      <c r="C5">
        <v>44</v>
      </c>
      <c r="D5">
        <v>1</v>
      </c>
      <c r="E5">
        <v>9500</v>
      </c>
      <c r="F5">
        <v>150</v>
      </c>
      <c r="G5">
        <v>9350</v>
      </c>
      <c r="H5">
        <v>2.27272727272727E-2</v>
      </c>
    </row>
    <row r="6" spans="1:8" x14ac:dyDescent="0.25">
      <c r="A6" s="1">
        <v>45444</v>
      </c>
      <c r="B6" s="2" t="s">
        <v>12</v>
      </c>
      <c r="C6">
        <v>98</v>
      </c>
      <c r="D6">
        <v>9</v>
      </c>
      <c r="E6">
        <v>14670.3</v>
      </c>
      <c r="F6">
        <v>1287.7</v>
      </c>
      <c r="G6">
        <v>13382.6</v>
      </c>
      <c r="H6">
        <v>9.18367346938775E-2</v>
      </c>
    </row>
    <row r="7" spans="1:8" x14ac:dyDescent="0.25">
      <c r="A7" s="1">
        <v>45444</v>
      </c>
      <c r="B7" s="2" t="s">
        <v>13</v>
      </c>
      <c r="C7">
        <v>1416</v>
      </c>
      <c r="D7">
        <v>259</v>
      </c>
      <c r="E7">
        <v>214658.8</v>
      </c>
      <c r="F7">
        <v>41103.699999999997</v>
      </c>
      <c r="G7">
        <v>173555.1</v>
      </c>
      <c r="H7">
        <v>0.18290960451977401</v>
      </c>
    </row>
    <row r="8" spans="1:8" x14ac:dyDescent="0.25">
      <c r="A8" s="1">
        <v>45444</v>
      </c>
      <c r="B8" s="2" t="s">
        <v>14</v>
      </c>
      <c r="C8">
        <v>498</v>
      </c>
      <c r="D8">
        <v>64</v>
      </c>
      <c r="E8">
        <v>81259.399999999994</v>
      </c>
      <c r="F8">
        <v>12877</v>
      </c>
      <c r="G8">
        <v>68382.399999999994</v>
      </c>
      <c r="H8">
        <v>0.1285140562248995</v>
      </c>
    </row>
    <row r="9" spans="1:8" x14ac:dyDescent="0.25">
      <c r="A9" s="1">
        <v>45444</v>
      </c>
      <c r="B9" s="2" t="s">
        <v>15</v>
      </c>
      <c r="C9">
        <v>349</v>
      </c>
      <c r="D9">
        <v>8</v>
      </c>
      <c r="E9">
        <v>69000</v>
      </c>
      <c r="F9">
        <v>1630</v>
      </c>
      <c r="G9">
        <v>67370</v>
      </c>
      <c r="H9">
        <v>2.2922636103151799E-2</v>
      </c>
    </row>
    <row r="10" spans="1:8" x14ac:dyDescent="0.25">
      <c r="A10" s="1">
        <v>45474</v>
      </c>
      <c r="B10" s="2" t="s">
        <v>12</v>
      </c>
      <c r="C10">
        <v>109</v>
      </c>
      <c r="D10">
        <v>16</v>
      </c>
      <c r="E10">
        <v>19568.3</v>
      </c>
      <c r="F10">
        <v>2678.1</v>
      </c>
      <c r="G10">
        <v>16890.2</v>
      </c>
      <c r="H10">
        <v>0.146788990825688</v>
      </c>
    </row>
    <row r="11" spans="1:8" x14ac:dyDescent="0.25">
      <c r="A11" s="1">
        <v>45474</v>
      </c>
      <c r="B11" s="2" t="s">
        <v>13</v>
      </c>
      <c r="C11">
        <v>1394</v>
      </c>
      <c r="D11">
        <v>239</v>
      </c>
      <c r="E11">
        <v>220599.6</v>
      </c>
      <c r="F11">
        <v>36371.599999999999</v>
      </c>
      <c r="G11">
        <v>184228</v>
      </c>
      <c r="H11">
        <v>0.1714490674318507</v>
      </c>
    </row>
    <row r="12" spans="1:8" x14ac:dyDescent="0.25">
      <c r="A12" s="1">
        <v>45474</v>
      </c>
      <c r="B12" s="2" t="s">
        <v>14</v>
      </c>
      <c r="C12">
        <v>391</v>
      </c>
      <c r="D12">
        <v>60</v>
      </c>
      <c r="E12">
        <v>63176.3</v>
      </c>
      <c r="F12">
        <v>9179.7999999999993</v>
      </c>
      <c r="G12">
        <v>53996.5</v>
      </c>
      <c r="H12">
        <v>0.15345268542199481</v>
      </c>
    </row>
    <row r="13" spans="1:8" x14ac:dyDescent="0.25">
      <c r="A13" s="1">
        <v>45474</v>
      </c>
      <c r="B13" s="2" t="s">
        <v>15</v>
      </c>
      <c r="C13">
        <v>318</v>
      </c>
      <c r="D13">
        <v>12</v>
      </c>
      <c r="E13">
        <v>63530</v>
      </c>
      <c r="F13">
        <v>2870</v>
      </c>
      <c r="G13">
        <v>60660</v>
      </c>
      <c r="H13">
        <v>3.7735849056603703E-2</v>
      </c>
    </row>
    <row r="14" spans="1:8" x14ac:dyDescent="0.25">
      <c r="A14" s="1">
        <v>45505</v>
      </c>
      <c r="B14" s="2" t="s">
        <v>12</v>
      </c>
      <c r="C14">
        <v>118</v>
      </c>
      <c r="D14">
        <v>16</v>
      </c>
      <c r="E14">
        <v>19268.099999999999</v>
      </c>
      <c r="F14">
        <v>3160</v>
      </c>
      <c r="G14">
        <v>16108.1</v>
      </c>
      <c r="H14">
        <v>0.13559322033898299</v>
      </c>
    </row>
    <row r="15" spans="1:8" x14ac:dyDescent="0.25">
      <c r="A15" s="1">
        <v>45505</v>
      </c>
      <c r="B15" s="2" t="s">
        <v>13</v>
      </c>
      <c r="C15">
        <v>1349</v>
      </c>
      <c r="D15">
        <v>253</v>
      </c>
      <c r="E15">
        <v>212233.5</v>
      </c>
      <c r="F15">
        <v>39302.5</v>
      </c>
      <c r="G15">
        <v>172931</v>
      </c>
      <c r="H15">
        <v>0.18754633061527051</v>
      </c>
    </row>
    <row r="16" spans="1:8" x14ac:dyDescent="0.25">
      <c r="A16" s="1">
        <v>45505</v>
      </c>
      <c r="B16" s="2" t="s">
        <v>14</v>
      </c>
      <c r="C16">
        <v>391</v>
      </c>
      <c r="D16">
        <v>54</v>
      </c>
      <c r="E16">
        <v>60553.5</v>
      </c>
      <c r="F16">
        <v>7694.6</v>
      </c>
      <c r="G16">
        <v>52858.9</v>
      </c>
      <c r="H16">
        <v>0.1381074168797953</v>
      </c>
    </row>
    <row r="17" spans="1:8" x14ac:dyDescent="0.25">
      <c r="A17" s="1">
        <v>45505</v>
      </c>
      <c r="B17" s="2" t="s">
        <v>15</v>
      </c>
      <c r="C17">
        <v>354</v>
      </c>
      <c r="D17">
        <v>18</v>
      </c>
      <c r="E17">
        <v>69420</v>
      </c>
      <c r="F17">
        <v>3940</v>
      </c>
      <c r="G17">
        <v>65480</v>
      </c>
      <c r="H17">
        <v>5.0847457627118599E-2</v>
      </c>
    </row>
    <row r="18" spans="1:8" x14ac:dyDescent="0.25">
      <c r="A18" s="1">
        <v>45536</v>
      </c>
      <c r="B18" s="2" t="s">
        <v>12</v>
      </c>
      <c r="C18">
        <v>108</v>
      </c>
      <c r="D18">
        <v>15</v>
      </c>
      <c r="E18">
        <v>13690.7</v>
      </c>
      <c r="F18">
        <v>2038.2</v>
      </c>
      <c r="G18">
        <v>11652.5</v>
      </c>
      <c r="H18">
        <v>0.1388888888888889</v>
      </c>
    </row>
    <row r="19" spans="1:8" x14ac:dyDescent="0.25">
      <c r="A19" s="1">
        <v>45536</v>
      </c>
      <c r="B19" s="2" t="s">
        <v>13</v>
      </c>
      <c r="C19">
        <v>1320</v>
      </c>
      <c r="D19">
        <v>239</v>
      </c>
      <c r="E19">
        <v>207043.20000000001</v>
      </c>
      <c r="F19">
        <v>39120.800000000003</v>
      </c>
      <c r="G19">
        <v>167922.4</v>
      </c>
      <c r="H19">
        <v>0.18106060606060601</v>
      </c>
    </row>
    <row r="20" spans="1:8" x14ac:dyDescent="0.25">
      <c r="A20" s="1">
        <v>45536</v>
      </c>
      <c r="B20" s="2" t="s">
        <v>14</v>
      </c>
      <c r="C20">
        <v>444</v>
      </c>
      <c r="D20">
        <v>62</v>
      </c>
      <c r="E20">
        <v>71834.7</v>
      </c>
      <c r="F20">
        <v>10088.299999999999</v>
      </c>
      <c r="G20">
        <v>61746.400000000001</v>
      </c>
      <c r="H20">
        <v>0.1396396396396396</v>
      </c>
    </row>
    <row r="21" spans="1:8" x14ac:dyDescent="0.25">
      <c r="A21" s="1">
        <v>45536</v>
      </c>
      <c r="B21" s="2" t="s">
        <v>15</v>
      </c>
      <c r="C21">
        <v>338</v>
      </c>
      <c r="D21">
        <v>7</v>
      </c>
      <c r="E21">
        <v>64300</v>
      </c>
      <c r="F21">
        <v>1260</v>
      </c>
      <c r="G21">
        <v>63040</v>
      </c>
      <c r="H21">
        <v>2.07100591715976E-2</v>
      </c>
    </row>
    <row r="22" spans="1:8" x14ac:dyDescent="0.25">
      <c r="A22" s="1">
        <v>45566</v>
      </c>
      <c r="B22" s="2" t="s">
        <v>12</v>
      </c>
      <c r="C22">
        <v>127</v>
      </c>
      <c r="D22">
        <v>20</v>
      </c>
      <c r="E22">
        <v>17767.099999999999</v>
      </c>
      <c r="F22">
        <v>2891.4</v>
      </c>
      <c r="G22">
        <v>14875.7</v>
      </c>
      <c r="H22">
        <v>0.15748031496062989</v>
      </c>
    </row>
    <row r="23" spans="1:8" x14ac:dyDescent="0.25">
      <c r="A23" s="1">
        <v>45566</v>
      </c>
      <c r="B23" s="2" t="s">
        <v>13</v>
      </c>
      <c r="C23">
        <v>1484</v>
      </c>
      <c r="D23">
        <v>291</v>
      </c>
      <c r="E23">
        <v>229344.9</v>
      </c>
      <c r="F23">
        <v>46997.1</v>
      </c>
      <c r="G23">
        <v>182347.8</v>
      </c>
      <c r="H23">
        <v>0.1960916442048517</v>
      </c>
    </row>
    <row r="24" spans="1:8" x14ac:dyDescent="0.25">
      <c r="A24" s="1">
        <v>45566</v>
      </c>
      <c r="B24" s="2" t="s">
        <v>14</v>
      </c>
      <c r="C24">
        <v>530</v>
      </c>
      <c r="D24">
        <v>77</v>
      </c>
      <c r="E24">
        <v>77301.5</v>
      </c>
      <c r="F24">
        <v>10641.3</v>
      </c>
      <c r="G24">
        <v>66660.2</v>
      </c>
      <c r="H24">
        <v>0.1452830188679245</v>
      </c>
    </row>
    <row r="25" spans="1:8" x14ac:dyDescent="0.25">
      <c r="A25" s="1">
        <v>45566</v>
      </c>
      <c r="B25" s="2" t="s">
        <v>15</v>
      </c>
      <c r="C25">
        <v>390</v>
      </c>
      <c r="D25">
        <v>15</v>
      </c>
      <c r="E25">
        <v>83230</v>
      </c>
      <c r="F25">
        <v>3670</v>
      </c>
      <c r="G25">
        <v>79560</v>
      </c>
      <c r="H25">
        <v>3.8461538461538401E-2</v>
      </c>
    </row>
    <row r="26" spans="1:8" x14ac:dyDescent="0.25">
      <c r="A26" s="1">
        <v>45597</v>
      </c>
      <c r="B26" s="2" t="s">
        <v>12</v>
      </c>
      <c r="C26">
        <v>171</v>
      </c>
      <c r="D26">
        <v>30</v>
      </c>
      <c r="E26">
        <v>31181.3</v>
      </c>
      <c r="F26">
        <v>5079.7</v>
      </c>
      <c r="G26">
        <v>26101.599999999999</v>
      </c>
      <c r="H26">
        <v>0.175438596491228</v>
      </c>
    </row>
    <row r="27" spans="1:8" x14ac:dyDescent="0.25">
      <c r="A27" s="1">
        <v>45597</v>
      </c>
      <c r="B27" s="2" t="s">
        <v>13</v>
      </c>
      <c r="C27">
        <v>1818</v>
      </c>
      <c r="D27">
        <v>293</v>
      </c>
      <c r="E27">
        <v>287481</v>
      </c>
      <c r="F27">
        <v>46436.2</v>
      </c>
      <c r="G27">
        <v>241044.8</v>
      </c>
      <c r="H27">
        <v>0.16116611661166111</v>
      </c>
    </row>
    <row r="28" spans="1:8" x14ac:dyDescent="0.25">
      <c r="A28" s="1">
        <v>45597</v>
      </c>
      <c r="B28" s="2" t="s">
        <v>14</v>
      </c>
      <c r="C28">
        <v>620</v>
      </c>
      <c r="D28">
        <v>81</v>
      </c>
      <c r="E28">
        <v>95210.8</v>
      </c>
      <c r="F28">
        <v>13588</v>
      </c>
      <c r="G28">
        <v>81622.8</v>
      </c>
      <c r="H28">
        <v>0.1306451612903225</v>
      </c>
    </row>
    <row r="29" spans="1:8" x14ac:dyDescent="0.25">
      <c r="A29" s="1">
        <v>45597</v>
      </c>
      <c r="B29" s="2" t="s">
        <v>15</v>
      </c>
      <c r="C29">
        <v>439</v>
      </c>
      <c r="D29">
        <v>18</v>
      </c>
      <c r="E29">
        <v>88230</v>
      </c>
      <c r="F29">
        <v>3150</v>
      </c>
      <c r="G29">
        <v>85080</v>
      </c>
      <c r="H29">
        <v>4.1002277904327998E-2</v>
      </c>
    </row>
    <row r="30" spans="1:8" x14ac:dyDescent="0.25">
      <c r="A30" s="1">
        <v>45627</v>
      </c>
      <c r="B30" s="2" t="s">
        <v>12</v>
      </c>
      <c r="C30">
        <v>181</v>
      </c>
      <c r="D30">
        <v>33</v>
      </c>
      <c r="E30">
        <v>28724.400000000001</v>
      </c>
      <c r="F30">
        <v>5135</v>
      </c>
      <c r="G30">
        <v>23589.4</v>
      </c>
      <c r="H30">
        <v>0.1823204419889502</v>
      </c>
    </row>
    <row r="31" spans="1:8" x14ac:dyDescent="0.25">
      <c r="A31" s="1">
        <v>45627</v>
      </c>
      <c r="B31" s="2" t="s">
        <v>13</v>
      </c>
      <c r="C31">
        <v>1997</v>
      </c>
      <c r="D31">
        <v>342</v>
      </c>
      <c r="E31">
        <v>309656.3</v>
      </c>
      <c r="F31">
        <v>54265.1</v>
      </c>
      <c r="G31">
        <v>255391.2</v>
      </c>
      <c r="H31">
        <v>0.17125688532799199</v>
      </c>
    </row>
    <row r="32" spans="1:8" x14ac:dyDescent="0.25">
      <c r="A32" s="1">
        <v>45627</v>
      </c>
      <c r="B32" s="2" t="s">
        <v>14</v>
      </c>
      <c r="C32">
        <v>737</v>
      </c>
      <c r="D32">
        <v>65</v>
      </c>
      <c r="E32">
        <v>112851.5</v>
      </c>
      <c r="F32">
        <v>9638</v>
      </c>
      <c r="G32">
        <v>103213.5</v>
      </c>
      <c r="H32">
        <v>8.8195386702849293E-2</v>
      </c>
    </row>
    <row r="33" spans="1:8" x14ac:dyDescent="0.25">
      <c r="A33" s="1">
        <v>45627</v>
      </c>
      <c r="B33" s="2" t="s">
        <v>15</v>
      </c>
      <c r="C33">
        <v>517</v>
      </c>
      <c r="D33">
        <v>24</v>
      </c>
      <c r="E33">
        <v>99340</v>
      </c>
      <c r="F33">
        <v>5290</v>
      </c>
      <c r="G33">
        <v>94050</v>
      </c>
      <c r="H33">
        <v>4.6421663442939999E-2</v>
      </c>
    </row>
    <row r="34" spans="1:8" x14ac:dyDescent="0.25">
      <c r="A34" s="1">
        <v>45658</v>
      </c>
      <c r="B34" s="2" t="s">
        <v>12</v>
      </c>
      <c r="C34">
        <v>96</v>
      </c>
      <c r="D34">
        <v>10</v>
      </c>
      <c r="E34">
        <v>13840.8</v>
      </c>
      <c r="F34">
        <v>1279.8</v>
      </c>
      <c r="G34">
        <v>12561</v>
      </c>
      <c r="H34">
        <v>0.1041666666666666</v>
      </c>
    </row>
    <row r="35" spans="1:8" x14ac:dyDescent="0.25">
      <c r="A35" s="1">
        <v>45658</v>
      </c>
      <c r="B35" s="2" t="s">
        <v>13</v>
      </c>
      <c r="C35">
        <v>1179</v>
      </c>
      <c r="D35">
        <v>217</v>
      </c>
      <c r="E35">
        <v>186021.3</v>
      </c>
      <c r="F35">
        <v>35320.9</v>
      </c>
      <c r="G35">
        <v>150700.4</v>
      </c>
      <c r="H35">
        <v>0.18405428329092449</v>
      </c>
    </row>
    <row r="36" spans="1:8" x14ac:dyDescent="0.25">
      <c r="A36" s="1">
        <v>45658</v>
      </c>
      <c r="B36" s="2" t="s">
        <v>14</v>
      </c>
      <c r="C36">
        <v>427</v>
      </c>
      <c r="D36">
        <v>49</v>
      </c>
      <c r="E36">
        <v>64227</v>
      </c>
      <c r="F36">
        <v>7031</v>
      </c>
      <c r="G36">
        <v>57196</v>
      </c>
      <c r="H36">
        <v>0.1147540983606557</v>
      </c>
    </row>
    <row r="37" spans="1:8" x14ac:dyDescent="0.25">
      <c r="A37" s="1">
        <v>45658</v>
      </c>
      <c r="B37" s="2" t="s">
        <v>15</v>
      </c>
      <c r="C37">
        <v>314</v>
      </c>
      <c r="D37">
        <v>21</v>
      </c>
      <c r="E37">
        <v>61810</v>
      </c>
      <c r="F37">
        <v>4480</v>
      </c>
      <c r="G37">
        <v>57330</v>
      </c>
      <c r="H37">
        <v>6.6878980891719703E-2</v>
      </c>
    </row>
    <row r="38" spans="1:8" x14ac:dyDescent="0.25">
      <c r="A38" s="1">
        <v>45689</v>
      </c>
      <c r="B38" s="2" t="s">
        <v>12</v>
      </c>
      <c r="C38">
        <v>98</v>
      </c>
      <c r="D38">
        <v>15</v>
      </c>
      <c r="E38">
        <v>15634.1</v>
      </c>
      <c r="F38">
        <v>2196.1999999999998</v>
      </c>
      <c r="G38">
        <v>13437.9</v>
      </c>
      <c r="H38">
        <v>0.15306122448979589</v>
      </c>
    </row>
    <row r="39" spans="1:8" x14ac:dyDescent="0.25">
      <c r="A39" s="1">
        <v>45689</v>
      </c>
      <c r="B39" s="2" t="s">
        <v>13</v>
      </c>
      <c r="C39">
        <v>1034</v>
      </c>
      <c r="D39">
        <v>194</v>
      </c>
      <c r="E39">
        <v>168586</v>
      </c>
      <c r="F39">
        <v>29941</v>
      </c>
      <c r="G39">
        <v>138645</v>
      </c>
      <c r="H39">
        <v>0.18762088974854929</v>
      </c>
    </row>
    <row r="40" spans="1:8" x14ac:dyDescent="0.25">
      <c r="A40" s="1">
        <v>45689</v>
      </c>
      <c r="B40" s="2" t="s">
        <v>14</v>
      </c>
      <c r="C40">
        <v>331</v>
      </c>
      <c r="D40">
        <v>28</v>
      </c>
      <c r="E40">
        <v>51895.1</v>
      </c>
      <c r="F40">
        <v>4819</v>
      </c>
      <c r="G40">
        <v>47076.1</v>
      </c>
      <c r="H40">
        <v>8.4592145015105702E-2</v>
      </c>
    </row>
    <row r="41" spans="1:8" x14ac:dyDescent="0.25">
      <c r="A41" s="1">
        <v>45689</v>
      </c>
      <c r="B41" s="2" t="s">
        <v>15</v>
      </c>
      <c r="C41">
        <v>256</v>
      </c>
      <c r="D41">
        <v>15</v>
      </c>
      <c r="E41">
        <v>50380</v>
      </c>
      <c r="F41">
        <v>3180</v>
      </c>
      <c r="G41">
        <v>47200</v>
      </c>
      <c r="H41">
        <v>5.859375E-2</v>
      </c>
    </row>
    <row r="42" spans="1:8" x14ac:dyDescent="0.25">
      <c r="A42" s="1">
        <v>45717</v>
      </c>
      <c r="B42" s="2" t="s">
        <v>12</v>
      </c>
      <c r="C42">
        <v>103</v>
      </c>
      <c r="D42">
        <v>11</v>
      </c>
      <c r="E42">
        <v>15152.2</v>
      </c>
      <c r="F42">
        <v>1303.5</v>
      </c>
      <c r="G42">
        <v>13848.7</v>
      </c>
      <c r="H42">
        <v>0.10679611650485429</v>
      </c>
    </row>
    <row r="43" spans="1:8" x14ac:dyDescent="0.25">
      <c r="A43" s="1">
        <v>45717</v>
      </c>
      <c r="B43" s="2" t="s">
        <v>13</v>
      </c>
      <c r="C43">
        <v>1412</v>
      </c>
      <c r="D43">
        <v>252</v>
      </c>
      <c r="E43">
        <v>218482.4</v>
      </c>
      <c r="F43">
        <v>40361.1</v>
      </c>
      <c r="G43">
        <v>178121.3</v>
      </c>
      <c r="H43">
        <v>0.17847025495750701</v>
      </c>
    </row>
    <row r="44" spans="1:8" x14ac:dyDescent="0.25">
      <c r="A44" s="1">
        <v>45717</v>
      </c>
      <c r="B44" s="2" t="s">
        <v>14</v>
      </c>
      <c r="C44">
        <v>488</v>
      </c>
      <c r="D44">
        <v>61</v>
      </c>
      <c r="E44">
        <v>78526</v>
      </c>
      <c r="F44">
        <v>11470.8</v>
      </c>
      <c r="G44">
        <v>67055.199999999997</v>
      </c>
      <c r="H44">
        <v>0.125</v>
      </c>
    </row>
    <row r="45" spans="1:8" x14ac:dyDescent="0.25">
      <c r="A45" s="1">
        <v>45717</v>
      </c>
      <c r="B45" s="2" t="s">
        <v>15</v>
      </c>
      <c r="C45">
        <v>364</v>
      </c>
      <c r="D45">
        <v>18</v>
      </c>
      <c r="E45">
        <v>71610</v>
      </c>
      <c r="F45">
        <v>4520</v>
      </c>
      <c r="G45">
        <v>67090</v>
      </c>
      <c r="H45">
        <v>4.94505494505494E-2</v>
      </c>
    </row>
    <row r="46" spans="1:8" x14ac:dyDescent="0.25">
      <c r="A46" s="1">
        <v>45748</v>
      </c>
      <c r="B46" s="2" t="s">
        <v>12</v>
      </c>
      <c r="C46">
        <v>148</v>
      </c>
      <c r="D46">
        <v>19</v>
      </c>
      <c r="E46">
        <v>20255.599999999999</v>
      </c>
      <c r="F46">
        <v>3041.5</v>
      </c>
      <c r="G46">
        <v>17214.099999999999</v>
      </c>
      <c r="H46">
        <v>0.12837837837837829</v>
      </c>
    </row>
    <row r="47" spans="1:8" x14ac:dyDescent="0.25">
      <c r="A47" s="1">
        <v>45748</v>
      </c>
      <c r="B47" s="2" t="s">
        <v>13</v>
      </c>
      <c r="C47">
        <v>1500</v>
      </c>
      <c r="D47">
        <v>286</v>
      </c>
      <c r="E47">
        <v>229921.6</v>
      </c>
      <c r="F47">
        <v>42636.3</v>
      </c>
      <c r="G47">
        <v>187285.3</v>
      </c>
      <c r="H47">
        <v>0.1906666666666666</v>
      </c>
    </row>
    <row r="48" spans="1:8" x14ac:dyDescent="0.25">
      <c r="A48" s="1">
        <v>45748</v>
      </c>
      <c r="B48" s="2" t="s">
        <v>14</v>
      </c>
      <c r="C48">
        <v>484</v>
      </c>
      <c r="D48">
        <v>76</v>
      </c>
      <c r="E48">
        <v>74038.8</v>
      </c>
      <c r="F48">
        <v>11778.9</v>
      </c>
      <c r="G48">
        <v>62259.9</v>
      </c>
      <c r="H48">
        <v>0.1570247933884297</v>
      </c>
    </row>
    <row r="49" spans="1:8" x14ac:dyDescent="0.25">
      <c r="A49" s="1">
        <v>45748</v>
      </c>
      <c r="B49" s="2" t="s">
        <v>15</v>
      </c>
      <c r="C49">
        <v>374</v>
      </c>
      <c r="D49">
        <v>17</v>
      </c>
      <c r="E49">
        <v>70780</v>
      </c>
      <c r="F49">
        <v>4150</v>
      </c>
      <c r="G49">
        <v>66630</v>
      </c>
      <c r="H49">
        <v>4.54545454545454E-2</v>
      </c>
    </row>
    <row r="50" spans="1:8" x14ac:dyDescent="0.25">
      <c r="A50" s="1">
        <v>45778</v>
      </c>
      <c r="B50" s="2" t="s">
        <v>12</v>
      </c>
      <c r="C50">
        <v>161</v>
      </c>
      <c r="D50">
        <v>26</v>
      </c>
      <c r="E50">
        <v>24837.599999999999</v>
      </c>
      <c r="F50">
        <v>3673.5</v>
      </c>
      <c r="G50">
        <v>21164.1</v>
      </c>
      <c r="H50">
        <v>0.16149068322981361</v>
      </c>
    </row>
    <row r="51" spans="1:8" x14ac:dyDescent="0.25">
      <c r="A51" s="1">
        <v>45778</v>
      </c>
      <c r="B51" s="2" t="s">
        <v>13</v>
      </c>
      <c r="C51">
        <v>1623</v>
      </c>
      <c r="D51">
        <v>270</v>
      </c>
      <c r="E51">
        <v>251141</v>
      </c>
      <c r="F51">
        <v>44769.3</v>
      </c>
      <c r="G51">
        <v>206371.7</v>
      </c>
      <c r="H51">
        <v>0.166358595194085</v>
      </c>
    </row>
    <row r="52" spans="1:8" x14ac:dyDescent="0.25">
      <c r="A52" s="1">
        <v>45778</v>
      </c>
      <c r="B52" s="2" t="s">
        <v>14</v>
      </c>
      <c r="C52">
        <v>514</v>
      </c>
      <c r="D52">
        <v>69</v>
      </c>
      <c r="E52">
        <v>75642.5</v>
      </c>
      <c r="F52">
        <v>10206.799999999999</v>
      </c>
      <c r="G52">
        <v>65435.7</v>
      </c>
      <c r="H52">
        <v>0.13424124513618671</v>
      </c>
    </row>
    <row r="53" spans="1:8" x14ac:dyDescent="0.25">
      <c r="A53" s="1">
        <v>45778</v>
      </c>
      <c r="B53" s="2" t="s">
        <v>15</v>
      </c>
      <c r="C53">
        <v>380</v>
      </c>
      <c r="D53">
        <v>18</v>
      </c>
      <c r="E53">
        <v>73050</v>
      </c>
      <c r="F53">
        <v>4100</v>
      </c>
      <c r="G53">
        <v>68950</v>
      </c>
      <c r="H53">
        <v>4.7368421052631497E-2</v>
      </c>
    </row>
    <row r="54" spans="1:8" x14ac:dyDescent="0.25">
      <c r="A54" s="1">
        <v>45809</v>
      </c>
      <c r="B54" s="2" t="s">
        <v>12</v>
      </c>
      <c r="C54">
        <v>151</v>
      </c>
      <c r="D54">
        <v>23</v>
      </c>
      <c r="E54">
        <v>22894.2</v>
      </c>
      <c r="F54">
        <v>2701.8</v>
      </c>
      <c r="G54">
        <v>20192.400000000001</v>
      </c>
      <c r="H54">
        <v>0.15231788079470199</v>
      </c>
    </row>
    <row r="55" spans="1:8" x14ac:dyDescent="0.25">
      <c r="A55" s="1">
        <v>45809</v>
      </c>
      <c r="B55" s="2" t="s">
        <v>13</v>
      </c>
      <c r="C55">
        <v>1603</v>
      </c>
      <c r="D55">
        <v>289</v>
      </c>
      <c r="E55">
        <v>258093</v>
      </c>
      <c r="F55">
        <v>42699.5</v>
      </c>
      <c r="G55">
        <v>215393.5</v>
      </c>
      <c r="H55">
        <v>0.1802869619463506</v>
      </c>
    </row>
    <row r="56" spans="1:8" x14ac:dyDescent="0.25">
      <c r="A56" s="1">
        <v>45809</v>
      </c>
      <c r="B56" s="2" t="s">
        <v>14</v>
      </c>
      <c r="C56">
        <v>606</v>
      </c>
      <c r="D56">
        <v>79</v>
      </c>
      <c r="E56">
        <v>101451.8</v>
      </c>
      <c r="F56">
        <v>13430</v>
      </c>
      <c r="G56">
        <v>88021.8</v>
      </c>
      <c r="H56">
        <v>0.1303630363036303</v>
      </c>
    </row>
    <row r="57" spans="1:8" x14ac:dyDescent="0.25">
      <c r="A57" s="1">
        <v>45809</v>
      </c>
      <c r="B57" s="2" t="s">
        <v>15</v>
      </c>
      <c r="C57">
        <v>445</v>
      </c>
      <c r="D57">
        <v>17</v>
      </c>
      <c r="E57">
        <v>88340</v>
      </c>
      <c r="F57">
        <v>2720</v>
      </c>
      <c r="G57">
        <v>85620</v>
      </c>
      <c r="H57">
        <v>3.8202247191011202E-2</v>
      </c>
    </row>
    <row r="58" spans="1:8" x14ac:dyDescent="0.25">
      <c r="A58" s="1">
        <v>45839</v>
      </c>
      <c r="B58" s="2" t="s">
        <v>12</v>
      </c>
      <c r="C58">
        <v>145</v>
      </c>
      <c r="D58">
        <v>19</v>
      </c>
      <c r="E58">
        <v>21764.5</v>
      </c>
      <c r="F58">
        <v>2717.6</v>
      </c>
      <c r="G58">
        <v>19046.900000000001</v>
      </c>
      <c r="H58">
        <v>0.1310344827586207</v>
      </c>
    </row>
    <row r="59" spans="1:8" x14ac:dyDescent="0.25">
      <c r="A59" s="1">
        <v>45839</v>
      </c>
      <c r="B59" s="2" t="s">
        <v>13</v>
      </c>
      <c r="C59">
        <v>1654</v>
      </c>
      <c r="D59">
        <v>315</v>
      </c>
      <c r="E59">
        <v>259112.1</v>
      </c>
      <c r="F59">
        <v>51626.5</v>
      </c>
      <c r="G59">
        <v>207485.6</v>
      </c>
      <c r="H59">
        <v>0.1904474002418379</v>
      </c>
    </row>
    <row r="60" spans="1:8" x14ac:dyDescent="0.25">
      <c r="A60" s="1">
        <v>45839</v>
      </c>
      <c r="B60" s="2" t="s">
        <v>14</v>
      </c>
      <c r="C60">
        <v>486</v>
      </c>
      <c r="D60">
        <v>88</v>
      </c>
      <c r="E60">
        <v>74520.7</v>
      </c>
      <c r="F60">
        <v>12197.6</v>
      </c>
      <c r="G60">
        <v>62323.1</v>
      </c>
      <c r="H60">
        <v>0.18106995884773661</v>
      </c>
    </row>
    <row r="61" spans="1:8" x14ac:dyDescent="0.25">
      <c r="A61" s="1">
        <v>45839</v>
      </c>
      <c r="B61" s="2" t="s">
        <v>15</v>
      </c>
      <c r="C61">
        <v>437</v>
      </c>
      <c r="D61">
        <v>18</v>
      </c>
      <c r="E61">
        <v>85750</v>
      </c>
      <c r="F61">
        <v>2810</v>
      </c>
      <c r="G61">
        <v>82940</v>
      </c>
      <c r="H61">
        <v>4.1189931350114402E-2</v>
      </c>
    </row>
    <row r="62" spans="1:8" x14ac:dyDescent="0.25">
      <c r="A62" s="1">
        <v>45870</v>
      </c>
      <c r="B62" s="2" t="s">
        <v>12</v>
      </c>
      <c r="C62">
        <v>110</v>
      </c>
      <c r="D62">
        <v>12</v>
      </c>
      <c r="E62">
        <v>16455.7</v>
      </c>
      <c r="F62">
        <v>1390.4</v>
      </c>
      <c r="G62">
        <v>15065.3</v>
      </c>
      <c r="H62">
        <v>0.109090909090909</v>
      </c>
    </row>
    <row r="63" spans="1:8" x14ac:dyDescent="0.25">
      <c r="A63" s="1">
        <v>45870</v>
      </c>
      <c r="B63" s="2" t="s">
        <v>13</v>
      </c>
      <c r="C63">
        <v>1538</v>
      </c>
      <c r="D63">
        <v>271</v>
      </c>
      <c r="E63">
        <v>234716.9</v>
      </c>
      <c r="F63">
        <v>43110.3</v>
      </c>
      <c r="G63">
        <v>191606.6</v>
      </c>
      <c r="H63">
        <v>0.1762028608582574</v>
      </c>
    </row>
    <row r="64" spans="1:8" x14ac:dyDescent="0.25">
      <c r="A64" s="1">
        <v>45870</v>
      </c>
      <c r="B64" s="2" t="s">
        <v>14</v>
      </c>
      <c r="C64">
        <v>542</v>
      </c>
      <c r="D64">
        <v>53</v>
      </c>
      <c r="E64">
        <v>83811.100000000006</v>
      </c>
      <c r="F64">
        <v>7915.8</v>
      </c>
      <c r="G64">
        <v>75895.3</v>
      </c>
      <c r="H64">
        <v>9.7785977859778495E-2</v>
      </c>
    </row>
    <row r="65" spans="1:8" x14ac:dyDescent="0.25">
      <c r="A65" s="1">
        <v>45870</v>
      </c>
      <c r="B65" s="2" t="s">
        <v>15</v>
      </c>
      <c r="C65">
        <v>367</v>
      </c>
      <c r="D65">
        <v>7</v>
      </c>
      <c r="E65">
        <v>71360</v>
      </c>
      <c r="F65">
        <v>2030</v>
      </c>
      <c r="G65">
        <v>69330</v>
      </c>
      <c r="H65">
        <v>1.9073569482288801E-2</v>
      </c>
    </row>
    <row r="66" spans="1:8" x14ac:dyDescent="0.25">
      <c r="A66" s="1">
        <v>45901</v>
      </c>
      <c r="B66" s="2" t="s">
        <v>12</v>
      </c>
      <c r="C66">
        <v>141</v>
      </c>
      <c r="D66">
        <v>20</v>
      </c>
      <c r="E66">
        <v>23723.7</v>
      </c>
      <c r="F66">
        <v>2425.3000000000002</v>
      </c>
      <c r="G66">
        <v>21298.400000000001</v>
      </c>
      <c r="H66">
        <v>0.1418439716312056</v>
      </c>
    </row>
    <row r="67" spans="1:8" x14ac:dyDescent="0.25">
      <c r="A67" s="1">
        <v>45901</v>
      </c>
      <c r="B67" s="2" t="s">
        <v>13</v>
      </c>
      <c r="C67">
        <v>1658</v>
      </c>
      <c r="D67">
        <v>298</v>
      </c>
      <c r="E67">
        <v>255170</v>
      </c>
      <c r="F67">
        <v>44437.5</v>
      </c>
      <c r="G67">
        <v>210732.5</v>
      </c>
      <c r="H67">
        <v>0.17973462002412541</v>
      </c>
    </row>
    <row r="68" spans="1:8" x14ac:dyDescent="0.25">
      <c r="A68" s="1">
        <v>45901</v>
      </c>
      <c r="B68" s="2" t="s">
        <v>14</v>
      </c>
      <c r="C68">
        <v>519</v>
      </c>
      <c r="D68">
        <v>70</v>
      </c>
      <c r="E68">
        <v>79837.399999999994</v>
      </c>
      <c r="F68">
        <v>11597.2</v>
      </c>
      <c r="G68">
        <v>68240.2</v>
      </c>
      <c r="H68">
        <v>0.13487475915221581</v>
      </c>
    </row>
    <row r="69" spans="1:8" x14ac:dyDescent="0.25">
      <c r="A69" s="1">
        <v>45901</v>
      </c>
      <c r="B69" s="2" t="s">
        <v>15</v>
      </c>
      <c r="C69">
        <v>371</v>
      </c>
      <c r="D69">
        <v>20</v>
      </c>
      <c r="E69">
        <v>72550</v>
      </c>
      <c r="F69">
        <v>2700</v>
      </c>
      <c r="G69">
        <v>69850</v>
      </c>
      <c r="H69">
        <v>5.3908355795148202E-2</v>
      </c>
    </row>
    <row r="70" spans="1:8" x14ac:dyDescent="0.25">
      <c r="A70" s="1">
        <v>45931</v>
      </c>
      <c r="B70" s="2" t="s">
        <v>12</v>
      </c>
      <c r="C70">
        <v>129</v>
      </c>
      <c r="D70">
        <v>21</v>
      </c>
      <c r="E70">
        <v>21867.200000000001</v>
      </c>
      <c r="F70">
        <v>2930.9</v>
      </c>
      <c r="G70">
        <v>18936.3</v>
      </c>
      <c r="H70">
        <v>0.16279069767441859</v>
      </c>
    </row>
    <row r="71" spans="1:8" x14ac:dyDescent="0.25">
      <c r="A71" s="1">
        <v>45931</v>
      </c>
      <c r="B71" s="2" t="s">
        <v>13</v>
      </c>
      <c r="C71">
        <v>1748</v>
      </c>
      <c r="D71">
        <v>323</v>
      </c>
      <c r="E71">
        <v>268718.5</v>
      </c>
      <c r="F71">
        <v>47747.6</v>
      </c>
      <c r="G71">
        <v>220970.9</v>
      </c>
      <c r="H71">
        <v>0.18478260869565211</v>
      </c>
    </row>
    <row r="72" spans="1:8" x14ac:dyDescent="0.25">
      <c r="A72" s="1">
        <v>45931</v>
      </c>
      <c r="B72" s="2" t="s">
        <v>14</v>
      </c>
      <c r="C72">
        <v>557</v>
      </c>
      <c r="D72">
        <v>82</v>
      </c>
      <c r="E72">
        <v>86386.5</v>
      </c>
      <c r="F72">
        <v>11936.9</v>
      </c>
      <c r="G72">
        <v>74449.600000000006</v>
      </c>
      <c r="H72">
        <v>0.14721723518850979</v>
      </c>
    </row>
    <row r="73" spans="1:8" x14ac:dyDescent="0.25">
      <c r="A73" s="1">
        <v>45931</v>
      </c>
      <c r="B73" s="2" t="s">
        <v>15</v>
      </c>
      <c r="C73">
        <v>394</v>
      </c>
      <c r="D73">
        <v>20</v>
      </c>
      <c r="E73">
        <v>78860</v>
      </c>
      <c r="F73">
        <v>3870</v>
      </c>
      <c r="G73">
        <v>74990</v>
      </c>
      <c r="H73">
        <v>5.0761421319796898E-2</v>
      </c>
    </row>
    <row r="74" spans="1:8" x14ac:dyDescent="0.25">
      <c r="A74" s="1">
        <v>45962</v>
      </c>
      <c r="B74" s="2" t="s">
        <v>12</v>
      </c>
      <c r="C74">
        <v>193</v>
      </c>
      <c r="D74">
        <v>27</v>
      </c>
      <c r="E74">
        <v>32018.7</v>
      </c>
      <c r="F74">
        <v>5040.2</v>
      </c>
      <c r="G74">
        <v>26978.5</v>
      </c>
      <c r="H74">
        <v>0.13989637305699479</v>
      </c>
    </row>
    <row r="75" spans="1:8" x14ac:dyDescent="0.25">
      <c r="A75" s="1">
        <v>45962</v>
      </c>
      <c r="B75" s="2" t="s">
        <v>13</v>
      </c>
      <c r="C75">
        <v>2142</v>
      </c>
      <c r="D75">
        <v>380</v>
      </c>
      <c r="E75">
        <v>331333.90000000002</v>
      </c>
      <c r="F75">
        <v>53396.1</v>
      </c>
      <c r="G75">
        <v>277937.8</v>
      </c>
      <c r="H75">
        <v>0.1774042950513538</v>
      </c>
    </row>
    <row r="76" spans="1:8" x14ac:dyDescent="0.25">
      <c r="A76" s="1">
        <v>45962</v>
      </c>
      <c r="B76" s="2" t="s">
        <v>14</v>
      </c>
      <c r="C76">
        <v>790</v>
      </c>
      <c r="D76">
        <v>118</v>
      </c>
      <c r="E76">
        <v>129259.8</v>
      </c>
      <c r="F76">
        <v>17893.5</v>
      </c>
      <c r="G76">
        <v>111366.3</v>
      </c>
      <c r="H76">
        <v>0.1493670886075949</v>
      </c>
    </row>
    <row r="77" spans="1:8" x14ac:dyDescent="0.25">
      <c r="A77" s="1">
        <v>45962</v>
      </c>
      <c r="B77" s="2" t="s">
        <v>15</v>
      </c>
      <c r="C77">
        <v>483</v>
      </c>
      <c r="D77">
        <v>25</v>
      </c>
      <c r="E77">
        <v>98630</v>
      </c>
      <c r="F77">
        <v>4970</v>
      </c>
      <c r="G77">
        <v>93660</v>
      </c>
      <c r="H77">
        <v>5.1759834368530003E-2</v>
      </c>
    </row>
    <row r="78" spans="1:8" x14ac:dyDescent="0.25">
      <c r="A78" s="1">
        <v>45992</v>
      </c>
      <c r="B78" s="2" t="s">
        <v>12</v>
      </c>
      <c r="C78">
        <v>187</v>
      </c>
      <c r="D78">
        <v>18</v>
      </c>
      <c r="E78">
        <v>27476.2</v>
      </c>
      <c r="F78">
        <v>3049.4</v>
      </c>
      <c r="G78">
        <v>24426.799999999999</v>
      </c>
      <c r="H78">
        <v>9.6256684491978606E-2</v>
      </c>
    </row>
    <row r="79" spans="1:8" x14ac:dyDescent="0.25">
      <c r="A79" s="1">
        <v>45992</v>
      </c>
      <c r="B79" s="2" t="s">
        <v>13</v>
      </c>
      <c r="C79">
        <v>2475</v>
      </c>
      <c r="D79">
        <v>445</v>
      </c>
      <c r="E79">
        <v>396264</v>
      </c>
      <c r="F79">
        <v>71629.3</v>
      </c>
      <c r="G79">
        <v>324634.7</v>
      </c>
      <c r="H79">
        <v>0.17979797979797971</v>
      </c>
    </row>
    <row r="80" spans="1:8" x14ac:dyDescent="0.25">
      <c r="A80" s="1">
        <v>45992</v>
      </c>
      <c r="B80" s="2" t="s">
        <v>14</v>
      </c>
      <c r="C80">
        <v>830</v>
      </c>
      <c r="D80">
        <v>103</v>
      </c>
      <c r="E80">
        <v>128217</v>
      </c>
      <c r="F80">
        <v>16566.3</v>
      </c>
      <c r="G80">
        <v>111650.7</v>
      </c>
      <c r="H80">
        <v>0.12409638554216861</v>
      </c>
    </row>
    <row r="81" spans="1:8" x14ac:dyDescent="0.25">
      <c r="A81" s="1">
        <v>45992</v>
      </c>
      <c r="B81" s="2" t="s">
        <v>15</v>
      </c>
      <c r="C81">
        <v>629</v>
      </c>
      <c r="D81">
        <v>23</v>
      </c>
      <c r="E81">
        <v>118870</v>
      </c>
      <c r="F81">
        <v>3470</v>
      </c>
      <c r="G81">
        <v>115400</v>
      </c>
      <c r="H81">
        <v>3.6565977742448297E-2</v>
      </c>
    </row>
    <row r="82" spans="1:8" x14ac:dyDescent="0.25">
      <c r="A82" s="1">
        <v>46023</v>
      </c>
      <c r="B82" s="2" t="s">
        <v>12</v>
      </c>
      <c r="C82">
        <v>134</v>
      </c>
      <c r="D82">
        <v>26</v>
      </c>
      <c r="E82">
        <v>22388.6</v>
      </c>
      <c r="F82">
        <v>5214</v>
      </c>
      <c r="G82">
        <v>17174.599999999999</v>
      </c>
      <c r="H82">
        <v>0.19402985074626861</v>
      </c>
    </row>
    <row r="83" spans="1:8" x14ac:dyDescent="0.25">
      <c r="A83" s="1">
        <v>46023</v>
      </c>
      <c r="B83" s="2" t="s">
        <v>13</v>
      </c>
      <c r="C83">
        <v>1502</v>
      </c>
      <c r="D83">
        <v>267</v>
      </c>
      <c r="E83">
        <v>237355.5</v>
      </c>
      <c r="F83">
        <v>41190.6</v>
      </c>
      <c r="G83">
        <v>196164.9</v>
      </c>
      <c r="H83">
        <v>0.177762982689747</v>
      </c>
    </row>
    <row r="84" spans="1:8" x14ac:dyDescent="0.25">
      <c r="A84" s="1">
        <v>46023</v>
      </c>
      <c r="B84" s="2" t="s">
        <v>14</v>
      </c>
      <c r="C84">
        <v>466</v>
      </c>
      <c r="D84">
        <v>69</v>
      </c>
      <c r="E84">
        <v>72300.800000000003</v>
      </c>
      <c r="F84">
        <v>11162.7</v>
      </c>
      <c r="G84">
        <v>61138.1</v>
      </c>
      <c r="H84">
        <v>0.14806866952789699</v>
      </c>
    </row>
    <row r="85" spans="1:8" x14ac:dyDescent="0.25">
      <c r="A85" s="1">
        <v>46023</v>
      </c>
      <c r="B85" s="2" t="s">
        <v>15</v>
      </c>
      <c r="C85">
        <v>361</v>
      </c>
      <c r="D85">
        <v>12</v>
      </c>
      <c r="E85">
        <v>70890</v>
      </c>
      <c r="F85">
        <v>2360</v>
      </c>
      <c r="G85">
        <v>68530</v>
      </c>
      <c r="H85">
        <v>3.3240997229916899E-2</v>
      </c>
    </row>
    <row r="86" spans="1:8" x14ac:dyDescent="0.25">
      <c r="A86" s="1">
        <v>46054</v>
      </c>
      <c r="B86" s="2" t="s">
        <v>12</v>
      </c>
      <c r="C86">
        <v>90</v>
      </c>
      <c r="D86">
        <v>18</v>
      </c>
      <c r="E86">
        <v>13990.9</v>
      </c>
      <c r="F86">
        <v>2899.3</v>
      </c>
      <c r="G86">
        <v>11091.6</v>
      </c>
      <c r="H86">
        <v>0.2</v>
      </c>
    </row>
    <row r="87" spans="1:8" x14ac:dyDescent="0.25">
      <c r="A87" s="1">
        <v>46054</v>
      </c>
      <c r="B87" s="2" t="s">
        <v>13</v>
      </c>
      <c r="C87">
        <v>1293</v>
      </c>
      <c r="D87">
        <v>211</v>
      </c>
      <c r="E87">
        <v>194284.7</v>
      </c>
      <c r="F87">
        <v>31473.599999999999</v>
      </c>
      <c r="G87">
        <v>162811.1</v>
      </c>
      <c r="H87">
        <v>0.1631863882443928</v>
      </c>
    </row>
    <row r="88" spans="1:8" x14ac:dyDescent="0.25">
      <c r="A88" s="1">
        <v>46054</v>
      </c>
      <c r="B88" s="2" t="s">
        <v>14</v>
      </c>
      <c r="C88">
        <v>452</v>
      </c>
      <c r="D88">
        <v>65</v>
      </c>
      <c r="E88">
        <v>69433.100000000006</v>
      </c>
      <c r="F88">
        <v>11391.8</v>
      </c>
      <c r="G88">
        <v>58041.3</v>
      </c>
      <c r="H88">
        <v>0.14380530973451319</v>
      </c>
    </row>
    <row r="89" spans="1:8" x14ac:dyDescent="0.25">
      <c r="A89" s="1">
        <v>46054</v>
      </c>
      <c r="B89" s="2" t="s">
        <v>15</v>
      </c>
      <c r="C89">
        <v>295</v>
      </c>
      <c r="D89">
        <v>11</v>
      </c>
      <c r="E89">
        <v>56530</v>
      </c>
      <c r="F89">
        <v>1480</v>
      </c>
      <c r="G89">
        <v>55050</v>
      </c>
      <c r="H89">
        <v>3.7288135593220299E-2</v>
      </c>
    </row>
    <row r="90" spans="1:8" x14ac:dyDescent="0.25">
      <c r="A90" s="1">
        <v>46082</v>
      </c>
      <c r="B90" s="2" t="s">
        <v>12</v>
      </c>
      <c r="C90">
        <v>165</v>
      </c>
      <c r="D90">
        <v>19</v>
      </c>
      <c r="E90">
        <v>24964</v>
      </c>
      <c r="F90">
        <v>3167.9</v>
      </c>
      <c r="G90">
        <v>21796.1</v>
      </c>
      <c r="H90">
        <v>0.1151515151515151</v>
      </c>
    </row>
    <row r="91" spans="1:8" x14ac:dyDescent="0.25">
      <c r="A91" s="1">
        <v>46082</v>
      </c>
      <c r="B91" s="2" t="s">
        <v>13</v>
      </c>
      <c r="C91">
        <v>1781</v>
      </c>
      <c r="D91">
        <v>313</v>
      </c>
      <c r="E91">
        <v>288831.90000000002</v>
      </c>
      <c r="F91">
        <v>52092.6</v>
      </c>
      <c r="G91">
        <v>236739.3</v>
      </c>
      <c r="H91">
        <v>0.1757439640651319</v>
      </c>
    </row>
    <row r="92" spans="1:8" x14ac:dyDescent="0.25">
      <c r="A92" s="1">
        <v>46082</v>
      </c>
      <c r="B92" s="2" t="s">
        <v>14</v>
      </c>
      <c r="C92">
        <v>522</v>
      </c>
      <c r="D92">
        <v>72</v>
      </c>
      <c r="E92">
        <v>82231.100000000006</v>
      </c>
      <c r="F92">
        <v>12711.1</v>
      </c>
      <c r="G92">
        <v>69520</v>
      </c>
      <c r="H92">
        <v>0.13793103448275859</v>
      </c>
    </row>
    <row r="93" spans="1:8" x14ac:dyDescent="0.25">
      <c r="A93" s="1">
        <v>46082</v>
      </c>
      <c r="B93" s="2" t="s">
        <v>15</v>
      </c>
      <c r="C93">
        <v>424</v>
      </c>
      <c r="D93">
        <v>13</v>
      </c>
      <c r="E93">
        <v>86330</v>
      </c>
      <c r="F93">
        <v>2430</v>
      </c>
      <c r="G93">
        <v>83900</v>
      </c>
      <c r="H93">
        <v>3.06603773584905E-2</v>
      </c>
    </row>
    <row r="94" spans="1:8" x14ac:dyDescent="0.25">
      <c r="A94" s="1">
        <v>46113</v>
      </c>
      <c r="B94" s="2" t="s">
        <v>12</v>
      </c>
      <c r="C94">
        <v>163</v>
      </c>
      <c r="D94">
        <v>24</v>
      </c>
      <c r="E94">
        <v>25240.5</v>
      </c>
      <c r="F94">
        <v>2875.6</v>
      </c>
      <c r="G94">
        <v>22364.9</v>
      </c>
      <c r="H94">
        <v>0.14723926380368099</v>
      </c>
    </row>
    <row r="95" spans="1:8" x14ac:dyDescent="0.25">
      <c r="A95" s="1">
        <v>46113</v>
      </c>
      <c r="B95" s="2" t="s">
        <v>13</v>
      </c>
      <c r="C95">
        <v>1811</v>
      </c>
      <c r="D95">
        <v>322</v>
      </c>
      <c r="E95">
        <v>300452.8</v>
      </c>
      <c r="F95">
        <v>53625.2</v>
      </c>
      <c r="G95">
        <v>246827.6</v>
      </c>
      <c r="H95">
        <v>0.1778023191606847</v>
      </c>
    </row>
    <row r="96" spans="1:8" x14ac:dyDescent="0.25">
      <c r="A96" s="1">
        <v>46113</v>
      </c>
      <c r="B96" s="2" t="s">
        <v>14</v>
      </c>
      <c r="C96">
        <v>615</v>
      </c>
      <c r="D96">
        <v>87</v>
      </c>
      <c r="E96">
        <v>99974.5</v>
      </c>
      <c r="F96">
        <v>13967.2</v>
      </c>
      <c r="G96">
        <v>86007.3</v>
      </c>
      <c r="H96">
        <v>0.1414634146341463</v>
      </c>
    </row>
    <row r="97" spans="1:8" x14ac:dyDescent="0.25">
      <c r="A97" s="1">
        <v>46113</v>
      </c>
      <c r="B97" s="2" t="s">
        <v>15</v>
      </c>
      <c r="C97">
        <v>483</v>
      </c>
      <c r="D97">
        <v>19</v>
      </c>
      <c r="E97">
        <v>98130</v>
      </c>
      <c r="F97">
        <v>4440</v>
      </c>
      <c r="G97">
        <v>93690</v>
      </c>
      <c r="H97">
        <v>3.9337474120082802E-2</v>
      </c>
    </row>
    <row r="98" spans="1:8" x14ac:dyDescent="0.25">
      <c r="A98" s="1">
        <v>46143</v>
      </c>
      <c r="B98" s="2" t="s">
        <v>12</v>
      </c>
      <c r="C98">
        <v>171</v>
      </c>
      <c r="D98">
        <v>26</v>
      </c>
      <c r="E98">
        <v>27958.1</v>
      </c>
      <c r="F98">
        <v>4029</v>
      </c>
      <c r="G98">
        <v>23929.1</v>
      </c>
      <c r="H98">
        <v>0.1520467836257309</v>
      </c>
    </row>
    <row r="99" spans="1:8" x14ac:dyDescent="0.25">
      <c r="A99" s="1">
        <v>46143</v>
      </c>
      <c r="B99" s="2" t="s">
        <v>13</v>
      </c>
      <c r="C99">
        <v>1814</v>
      </c>
      <c r="D99">
        <v>329</v>
      </c>
      <c r="E99">
        <v>293097.90000000002</v>
      </c>
      <c r="F99">
        <v>51326.3</v>
      </c>
      <c r="G99">
        <v>241771.6</v>
      </c>
      <c r="H99">
        <v>0.18136714443219401</v>
      </c>
    </row>
    <row r="100" spans="1:8" x14ac:dyDescent="0.25">
      <c r="A100" s="1">
        <v>46143</v>
      </c>
      <c r="B100" s="2" t="s">
        <v>14</v>
      </c>
      <c r="C100">
        <v>571</v>
      </c>
      <c r="D100">
        <v>78</v>
      </c>
      <c r="E100">
        <v>86038.9</v>
      </c>
      <c r="F100">
        <v>11589.3</v>
      </c>
      <c r="G100">
        <v>74449.600000000006</v>
      </c>
      <c r="H100">
        <v>0.13660245183887909</v>
      </c>
    </row>
    <row r="101" spans="1:8" x14ac:dyDescent="0.25">
      <c r="A101" s="1">
        <v>46143</v>
      </c>
      <c r="B101" s="2" t="s">
        <v>15</v>
      </c>
      <c r="C101">
        <v>429</v>
      </c>
      <c r="D101">
        <v>20</v>
      </c>
      <c r="E101">
        <v>89120</v>
      </c>
      <c r="F101">
        <v>4180</v>
      </c>
      <c r="G101">
        <v>84940</v>
      </c>
      <c r="H101">
        <v>4.6620046620046603E-2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6B564-A072-4610-9718-C3E5C6C462B2}">
  <dimension ref="A1:C30"/>
  <sheetViews>
    <sheetView workbookViewId="0"/>
  </sheetViews>
  <sheetFormatPr baseColWidth="10" defaultRowHeight="15" x14ac:dyDescent="0.25"/>
  <cols>
    <col min="1" max="1" width="17.85546875" bestFit="1" customWidth="1"/>
    <col min="2" max="2" width="25.140625" bestFit="1" customWidth="1"/>
    <col min="3" max="3" width="26" bestFit="1" customWidth="1"/>
  </cols>
  <sheetData>
    <row r="1" spans="1:3" x14ac:dyDescent="0.25">
      <c r="A1" s="5" t="s">
        <v>1</v>
      </c>
      <c r="B1" t="s">
        <v>33</v>
      </c>
    </row>
    <row r="3" spans="1:3" x14ac:dyDescent="0.25">
      <c r="A3" s="5" t="s">
        <v>21</v>
      </c>
      <c r="B3" t="s">
        <v>35</v>
      </c>
      <c r="C3" t="s">
        <v>23</v>
      </c>
    </row>
    <row r="4" spans="1:3" x14ac:dyDescent="0.25">
      <c r="A4" s="6">
        <v>45413</v>
      </c>
      <c r="B4" s="2">
        <v>38161.199999999997</v>
      </c>
      <c r="C4" s="2">
        <v>32038.799999999999</v>
      </c>
    </row>
    <row r="5" spans="1:3" x14ac:dyDescent="0.25">
      <c r="A5" s="6">
        <v>45444</v>
      </c>
      <c r="B5" s="2">
        <v>379588.5</v>
      </c>
      <c r="C5" s="2">
        <v>322690.09999999998</v>
      </c>
    </row>
    <row r="6" spans="1:3" x14ac:dyDescent="0.25">
      <c r="A6" s="6">
        <v>45474</v>
      </c>
      <c r="B6" s="2">
        <v>366874.2</v>
      </c>
      <c r="C6" s="2">
        <v>315774.7</v>
      </c>
    </row>
    <row r="7" spans="1:3" x14ac:dyDescent="0.25">
      <c r="A7" s="6">
        <v>45505</v>
      </c>
      <c r="B7" s="2">
        <v>361475.1</v>
      </c>
      <c r="C7" s="2">
        <v>307378</v>
      </c>
    </row>
    <row r="8" spans="1:3" x14ac:dyDescent="0.25">
      <c r="A8" s="6">
        <v>45536</v>
      </c>
      <c r="B8" s="2">
        <v>356868.60000000003</v>
      </c>
      <c r="C8" s="2">
        <v>304361.3</v>
      </c>
    </row>
    <row r="9" spans="1:3" x14ac:dyDescent="0.25">
      <c r="A9" s="6">
        <v>45566</v>
      </c>
      <c r="B9" s="2">
        <v>407643.5</v>
      </c>
      <c r="C9" s="2">
        <v>343443.7</v>
      </c>
    </row>
    <row r="10" spans="1:3" x14ac:dyDescent="0.25">
      <c r="A10" s="6">
        <v>45597</v>
      </c>
      <c r="B10" s="2">
        <v>502103.1</v>
      </c>
      <c r="C10" s="2">
        <v>433849.19999999995</v>
      </c>
    </row>
    <row r="11" spans="1:3" x14ac:dyDescent="0.25">
      <c r="A11" s="6">
        <v>45627</v>
      </c>
      <c r="B11" s="2">
        <v>550572.19999999995</v>
      </c>
      <c r="C11" s="2">
        <v>476244.10000000003</v>
      </c>
    </row>
    <row r="12" spans="1:3" x14ac:dyDescent="0.25">
      <c r="A12" s="6">
        <v>45658</v>
      </c>
      <c r="B12" s="2">
        <v>325899.09999999998</v>
      </c>
      <c r="C12" s="2">
        <v>277787.40000000002</v>
      </c>
    </row>
    <row r="13" spans="1:3" x14ac:dyDescent="0.25">
      <c r="A13" s="6">
        <v>45689</v>
      </c>
      <c r="B13" s="2">
        <v>286495.2</v>
      </c>
      <c r="C13" s="2">
        <v>246359</v>
      </c>
    </row>
    <row r="14" spans="1:3" x14ac:dyDescent="0.25">
      <c r="A14" s="6">
        <v>45717</v>
      </c>
      <c r="B14" s="2">
        <v>383770.6</v>
      </c>
      <c r="C14" s="2">
        <v>326115.20000000001</v>
      </c>
    </row>
    <row r="15" spans="1:3" x14ac:dyDescent="0.25">
      <c r="A15" s="6">
        <v>45748</v>
      </c>
      <c r="B15" s="2">
        <v>394996</v>
      </c>
      <c r="C15" s="2">
        <v>333389.3</v>
      </c>
    </row>
    <row r="16" spans="1:3" x14ac:dyDescent="0.25">
      <c r="A16" s="6">
        <v>45778</v>
      </c>
      <c r="B16" s="2">
        <v>424671.1</v>
      </c>
      <c r="C16" s="2">
        <v>361921.5</v>
      </c>
    </row>
    <row r="17" spans="1:3" x14ac:dyDescent="0.25">
      <c r="A17" s="6">
        <v>45809</v>
      </c>
      <c r="B17" s="2">
        <v>470779</v>
      </c>
      <c r="C17" s="2">
        <v>409227.7</v>
      </c>
    </row>
    <row r="18" spans="1:3" x14ac:dyDescent="0.25">
      <c r="A18" s="6">
        <v>45839</v>
      </c>
      <c r="B18" s="2">
        <v>441147.3</v>
      </c>
      <c r="C18" s="2">
        <v>371795.6</v>
      </c>
    </row>
    <row r="19" spans="1:3" x14ac:dyDescent="0.25">
      <c r="A19" s="6">
        <v>45870</v>
      </c>
      <c r="B19" s="2">
        <v>406343.7</v>
      </c>
      <c r="C19" s="2">
        <v>351897.2</v>
      </c>
    </row>
    <row r="20" spans="1:3" x14ac:dyDescent="0.25">
      <c r="A20" s="6">
        <v>45901</v>
      </c>
      <c r="B20" s="2">
        <v>431281.1</v>
      </c>
      <c r="C20" s="2">
        <v>370121.1</v>
      </c>
    </row>
    <row r="21" spans="1:3" x14ac:dyDescent="0.25">
      <c r="A21" s="6">
        <v>45931</v>
      </c>
      <c r="B21" s="2">
        <v>455832.2</v>
      </c>
      <c r="C21" s="2">
        <v>389346.8</v>
      </c>
    </row>
    <row r="22" spans="1:3" x14ac:dyDescent="0.25">
      <c r="A22" s="6">
        <v>45962</v>
      </c>
      <c r="B22" s="2">
        <v>591242.4</v>
      </c>
      <c r="C22" s="2">
        <v>509942.6</v>
      </c>
    </row>
    <row r="23" spans="1:3" x14ac:dyDescent="0.25">
      <c r="A23" s="6">
        <v>45992</v>
      </c>
      <c r="B23" s="2">
        <v>670827.19999999995</v>
      </c>
      <c r="C23" s="2">
        <v>576112.19999999995</v>
      </c>
    </row>
    <row r="24" spans="1:3" x14ac:dyDescent="0.25">
      <c r="A24" s="6">
        <v>46023</v>
      </c>
      <c r="B24" s="2">
        <v>402934.9</v>
      </c>
      <c r="C24" s="2">
        <v>343007.6</v>
      </c>
    </row>
    <row r="25" spans="1:3" x14ac:dyDescent="0.25">
      <c r="A25" s="6">
        <v>46054</v>
      </c>
      <c r="B25" s="2">
        <v>334238.7</v>
      </c>
      <c r="C25" s="2">
        <v>286994</v>
      </c>
    </row>
    <row r="26" spans="1:3" x14ac:dyDescent="0.25">
      <c r="A26" s="6">
        <v>46082</v>
      </c>
      <c r="B26" s="2">
        <v>482357</v>
      </c>
      <c r="C26" s="2">
        <v>411955.4</v>
      </c>
    </row>
    <row r="27" spans="1:3" x14ac:dyDescent="0.25">
      <c r="A27" s="6">
        <v>46113</v>
      </c>
      <c r="B27" s="2">
        <v>523797.8</v>
      </c>
      <c r="C27" s="2">
        <v>448889.8</v>
      </c>
    </row>
    <row r="28" spans="1:3" x14ac:dyDescent="0.25">
      <c r="A28" s="6">
        <v>46143</v>
      </c>
      <c r="B28" s="2">
        <v>496214.9</v>
      </c>
      <c r="C28" s="2">
        <v>425090.30000000005</v>
      </c>
    </row>
    <row r="29" spans="1:3" x14ac:dyDescent="0.25">
      <c r="A29" s="7" t="s">
        <v>34</v>
      </c>
      <c r="B29" s="2"/>
      <c r="C29" s="2"/>
    </row>
    <row r="30" spans="1:3" x14ac:dyDescent="0.25">
      <c r="A30" s="7" t="s">
        <v>22</v>
      </c>
      <c r="B30" s="2">
        <v>10486114.600000001</v>
      </c>
      <c r="C30" s="2">
        <v>8975732.5999999996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D3E83CA-2F1A-4924-B0BA-1D2A91946F1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Dashboard</vt:lpstr>
      <vt:lpstr>export 1A_excel</vt:lpstr>
      <vt:lpstr>export 1B_excel</vt:lpstr>
      <vt:lpstr>Dynamic Table 1</vt:lpstr>
      <vt:lpstr>export 2A_excel</vt:lpstr>
      <vt:lpstr>Dynamic Table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Zhongkai Dai</dc:creator>
  <cp:lastModifiedBy>Zhongkai Dai</cp:lastModifiedBy>
  <dcterms:created xsi:type="dcterms:W3CDTF">2026-08-16T17:03:21Z</dcterms:created>
  <dcterms:modified xsi:type="dcterms:W3CDTF">2026-08-19T12:53:09Z</dcterms:modified>
</cp:coreProperties>
</file>